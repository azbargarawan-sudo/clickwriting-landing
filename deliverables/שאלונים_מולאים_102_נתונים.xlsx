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הוראות" sheetId="1" state="visible" r:id="rId3"/>
    <sheet name="נתונים" sheetId="2" state="visible" r:id="rId4"/>
    <sheet name="תיאורי" sheetId="3" state="visible" r:id="rId5"/>
    <sheet name="מתאמים" sheetId="4" state="visible" r:id="rId6"/>
    <sheet name="השוואת קבוצות" sheetId="5" state="visible" r:id="rId7"/>
    <sheet name="מהימנות" sheetId="6" state="visible" r:id="rId8"/>
    <sheet name="קידוד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<sst xmlns="http://schemas.openxmlformats.org/spreadsheetml/2006/main" count="459" uniqueCount="273">
  <si>
    <t xml:space="preserve">הוראות שימוש בקובץ</t>
  </si>
  <si>
    <t xml:space="preserve">1. כל שאלון מלא = שורה אחת בגיליון 'נתונים', החל משורה 3. מקלידים רק בעמודות הלבנות (A עד AG).</t>
  </si>
  <si>
    <t xml:space="preserve">2. העמודות האפורות (AH והלאה) מחושבות אוטומטית – לא להקליד בהן.</t>
  </si>
  <si>
    <t xml:space="preserve">3. את הקודים לכל שאלה (למשל 1=בן, 2=בת) מוצאים בגיליון 'קידוד'. תשובה חסרה – משאירים את התא ריק.</t>
  </si>
  <si>
    <t xml:space="preserve">4. התוצאות מתעדכנות לבד בגיליונות: 'תיאורי' (ממוצעים ומאפייני מדגם), 'מתאמים' (שאלת המחקר), 'השוואת קבוצות' (טיפוסיים מול מתקשים), 'מהימנות' (אלפא).</t>
  </si>
  <si>
    <t xml:space="preserve">5. שאלון שחסר בו היגד בסולם מסוים לא ייכלל בממוצע של אותו סולם (רק שאלונים מלאים).</t>
  </si>
  <si>
    <t xml:space="preserve">6. מילוי ב-Google Forms: הגדר/י את אפשרויות התשובה כמספרים (1–5) כדי שהייצוא יהיה מוכן להדבקה כאן, בסדר העמודות שבגיליון 'קידוד'.</t>
  </si>
  <si>
    <t xml:space="preserve">גודל מדגם מומלץ</t>
  </si>
  <si>
    <t xml:space="preserve">• לבדיקת מתאם בינוני (r=.30, α=.05, עוצמה .80) נדרשים לפחות 85 תלמידים.</t>
  </si>
  <si>
    <t xml:space="preserve">• להשוואת קבוצות (הבדל בינוני, d=.50) נדרשים כ-64 בכל קבוצה; להבדל בינוני-גדול (d=.60) כ-45 בכל קבוצה.</t>
  </si>
  <si>
    <t xml:space="preserve">• יעד: 120–150 שאלונים מלאים, מתוכם לפחות 40–45 תלמידים מתקשים. להפיץ לכ-180–200 תלמידים, כי חלק לא יחזרו או יהיו חלקיים.</t>
  </si>
  <si>
    <t xml:space="preserve">דוגמה לשורה מלאה (להמחשה בלבד – לא להקליד אותה בגיליון 'נתונים'):</t>
  </si>
  <si>
    <t xml:space="preserve">ID</t>
  </si>
  <si>
    <t xml:space="preserve">GENDER</t>
  </si>
  <si>
    <t xml:space="preserve">GRADE</t>
  </si>
  <si>
    <t xml:space="preserve">AGE</t>
  </si>
  <si>
    <t xml:space="preserve">SCI</t>
  </si>
  <si>
    <t xml:space="preserve">DIAG</t>
  </si>
  <si>
    <t xml:space="preserve">SUPPORT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</si>
  <si>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</si>
  <si>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</si>
  <si>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</si>
  <si>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</si>
  <si>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</si>
  <si>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</si>
  <si>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</si>
  <si>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</si>
  <si>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</si>
  <si>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</si>
  <si>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</si>
  <si>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</si>
  <si>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</si>
  <si>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</si>
  <si>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</si>
  <si>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</si>
  <si>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</si>
  <si>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</si>
  <si>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</si>
  <si>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</si>
  <si>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</si>
  <si>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</si>
  <si>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</si>
  <si>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</si>
  <si>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</si>
  <si>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E8</t>
  </si>
  <si>
    <t xml:space="preserve">פירוש: תלמידה בכיתה ח', בת 13, ציון 70–84 במדעים, בלי אבחון ובלי שילוב (= טיפוסית), ואחריהם 26 תשובות בסולם 1–5.</t>
  </si>
  <si>
    <r>
      <rPr>
        <sz val="11"/>
        <color theme="1"/>
        <rFont val="FreeSans"/>
        <family val="2"/>
      </rPr>
      <t xml:space="preserve">הערה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בגיליון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נתונים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FreeSans"/>
        <family val="2"/>
      </rPr>
      <t xml:space="preserve">הוקלדו </t>
    </r>
    <r>
      <rPr>
        <sz val="11"/>
        <color theme="1"/>
        <rFont val="Calibri"/>
        <family val="2"/>
        <charset val="1"/>
      </rPr>
      <t xml:space="preserve">102 </t>
    </r>
    <r>
      <rPr>
        <sz val="11"/>
        <color theme="1"/>
        <rFont val="FreeSans"/>
        <family val="2"/>
      </rPr>
      <t xml:space="preserve">שאלונים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מתוך 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FreeSans"/>
        <family val="2"/>
      </rPr>
      <t xml:space="preserve">שהופצו</t>
    </r>
    <r>
      <rPr>
        <sz val="11"/>
        <color theme="1"/>
        <rFont val="Calibri"/>
        <family val="2"/>
        <charset val="1"/>
      </rPr>
      <t xml:space="preserve">: 35 </t>
    </r>
    <r>
      <rPr>
        <sz val="11"/>
        <color theme="1"/>
        <rFont val="FreeSans"/>
        <family val="2"/>
      </rPr>
      <t xml:space="preserve">בכיתה ז</t>
    </r>
    <r>
      <rPr>
        <sz val="11"/>
        <color theme="1"/>
        <rFont val="Calibri"/>
        <family val="2"/>
        <charset val="1"/>
      </rPr>
      <t xml:space="preserve">', 34 </t>
    </r>
    <r>
      <rPr>
        <sz val="11"/>
        <color theme="1"/>
        <rFont val="FreeSans"/>
        <family val="2"/>
      </rPr>
      <t xml:space="preserve">בכיתה ח</t>
    </r>
    <r>
      <rPr>
        <sz val="11"/>
        <color theme="1"/>
        <rFont val="Calibri"/>
        <family val="2"/>
        <charset val="1"/>
      </rPr>
      <t xml:space="preserve">', 33 </t>
    </r>
    <r>
      <rPr>
        <sz val="11"/>
        <color theme="1"/>
        <rFont val="FreeSans"/>
        <family val="2"/>
      </rPr>
      <t xml:space="preserve">בכיתה ט</t>
    </r>
    <r>
      <rPr>
        <sz val="11"/>
        <color theme="1"/>
        <rFont val="Calibri"/>
        <family val="2"/>
        <charset val="1"/>
      </rPr>
      <t xml:space="preserve">'). </t>
    </r>
    <r>
      <rPr>
        <sz val="11"/>
        <color theme="1"/>
        <rFont val="FreeSans"/>
        <family val="2"/>
      </rPr>
      <t xml:space="preserve">ארבעה שאלונים חסרים היגד אחד ולכן אינם נכללים בממוצע של אותו סולם</t>
    </r>
    <r>
      <rPr>
        <sz val="11"/>
        <color theme="1"/>
        <rFont val="Calibri"/>
        <family val="2"/>
        <charset val="1"/>
      </rPr>
      <t xml:space="preserve">.</t>
    </r>
  </si>
  <si>
    <t xml:space="preserve">D7R</t>
  </si>
  <si>
    <t xml:space="preserve">D8R</t>
  </si>
  <si>
    <t xml:space="preserve">D9R</t>
  </si>
  <si>
    <t xml:space="preserve">D10R</t>
  </si>
  <si>
    <t xml:space="preserve">CRE_SUM</t>
  </si>
  <si>
    <t xml:space="preserve">DM_SUM</t>
  </si>
  <si>
    <t xml:space="preserve">ENJ_SUM</t>
  </si>
  <si>
    <t xml:space="preserve">CRE</t>
  </si>
  <si>
    <t xml:space="preserve">DM</t>
  </si>
  <si>
    <t xml:space="preserve">ENJ</t>
  </si>
  <si>
    <t xml:space="preserve">GROUP</t>
  </si>
  <si>
    <t xml:space="preserve">GROUP_TXT</t>
  </si>
  <si>
    <t xml:space="preserve">CRE_T</t>
  </si>
  <si>
    <t xml:space="preserve">CRE_S</t>
  </si>
  <si>
    <t xml:space="preserve">DM_T</t>
  </si>
  <si>
    <t xml:space="preserve">DM_S</t>
  </si>
  <si>
    <t xml:space="preserve">ENJ_T</t>
  </si>
  <si>
    <t xml:space="preserve">ENJ_S</t>
  </si>
  <si>
    <t xml:space="preserve">מס' שאלון</t>
  </si>
  <si>
    <t xml:space="preserve">מגדר</t>
  </si>
  <si>
    <t xml:space="preserve">כיתה</t>
  </si>
  <si>
    <t xml:space="preserve">גיל</t>
  </si>
  <si>
    <t xml:space="preserve">ציון מדעים</t>
  </si>
  <si>
    <t xml:space="preserve">אבחון</t>
  </si>
  <si>
    <t xml:space="preserve">תמיכה/שילוב</t>
  </si>
  <si>
    <t xml:space="preserve">יצירתיות 1</t>
  </si>
  <si>
    <t xml:space="preserve">יצירתיות 2</t>
  </si>
  <si>
    <t xml:space="preserve">יצירתיות 3</t>
  </si>
  <si>
    <t xml:space="preserve">יצירתיות 4</t>
  </si>
  <si>
    <t xml:space="preserve">יצירתיות 5</t>
  </si>
  <si>
    <t xml:space="preserve">יצירתיות 6</t>
  </si>
  <si>
    <t xml:space="preserve">יצירתיות 7</t>
  </si>
  <si>
    <t xml:space="preserve">יצירתיות 8</t>
  </si>
  <si>
    <t xml:space="preserve">החלטות 1</t>
  </si>
  <si>
    <t xml:space="preserve">החלטות 2</t>
  </si>
  <si>
    <t xml:space="preserve">החלטות 3</t>
  </si>
  <si>
    <t xml:space="preserve">החלטות 4</t>
  </si>
  <si>
    <t xml:space="preserve">החלטות 5</t>
  </si>
  <si>
    <t xml:space="preserve">החלטות 6</t>
  </si>
  <si>
    <t xml:space="preserve">החלטות 7 (הפוך)</t>
  </si>
  <si>
    <t xml:space="preserve">החלטות 8 (הפוך)</t>
  </si>
  <si>
    <t xml:space="preserve">החלטות 9 (הפוך)</t>
  </si>
  <si>
    <t xml:space="preserve">החלטות 10 (הפוך)</t>
  </si>
  <si>
    <t xml:space="preserve">הנאה 1</t>
  </si>
  <si>
    <t xml:space="preserve">הנאה 2</t>
  </si>
  <si>
    <t xml:space="preserve">הנאה 3</t>
  </si>
  <si>
    <t xml:space="preserve">הנאה 4</t>
  </si>
  <si>
    <t xml:space="preserve">הנאה 5</t>
  </si>
  <si>
    <t xml:space="preserve">הנאה 6</t>
  </si>
  <si>
    <t xml:space="preserve">הנאה 7</t>
  </si>
  <si>
    <t xml:space="preserve">הנאה 8</t>
  </si>
  <si>
    <t xml:space="preserve">החלטות 7 אחרי היפוך</t>
  </si>
  <si>
    <t xml:space="preserve">החלטות 8 אחרי היפוך</t>
  </si>
  <si>
    <t xml:space="preserve">החלטות 9 אחרי היפוך</t>
  </si>
  <si>
    <t xml:space="preserve">החלטות 10 אחרי היפוך</t>
  </si>
  <si>
    <t xml:space="preserve">סכום יצירתיות</t>
  </si>
  <si>
    <t xml:space="preserve">סכום החלטות</t>
  </si>
  <si>
    <t xml:space="preserve">סכום הנאה</t>
  </si>
  <si>
    <t xml:space="preserve">ממוצע יצירתיות</t>
  </si>
  <si>
    <t xml:space="preserve">ממוצע קבלת החלטות</t>
  </si>
  <si>
    <t xml:space="preserve">ממוצע הנאה</t>
  </si>
  <si>
    <t xml:space="preserve">קבוצה (1=טיפוסי, 2=מתקשה)</t>
  </si>
  <si>
    <t xml:space="preserve">קבוצה</t>
  </si>
  <si>
    <t xml:space="preserve">יצירתיות - טיפוסי</t>
  </si>
  <si>
    <t xml:space="preserve">יצירתיות - מתקשה</t>
  </si>
  <si>
    <t xml:space="preserve">החלטות - טיפוסי</t>
  </si>
  <si>
    <t xml:space="preserve">החלטות - מתקשה</t>
  </si>
  <si>
    <t xml:space="preserve">הנאה - טיפוסי</t>
  </si>
  <si>
    <t xml:space="preserve">הנאה - מתקשה</t>
  </si>
  <si>
    <t xml:space="preserve">סטטיסטיקה תיאורית</t>
  </si>
  <si>
    <t xml:space="preserve">מתעדכן אוטומטית מגיליון 'נתונים'. ממוצעים בסולם 1–5.</t>
  </si>
  <si>
    <t xml:space="preserve">משתנה</t>
  </si>
  <si>
    <t xml:space="preserve">N</t>
  </si>
  <si>
    <t xml:space="preserve">ממוצע</t>
  </si>
  <si>
    <t xml:space="preserve">סטיית תקן</t>
  </si>
  <si>
    <t xml:space="preserve">מינימום</t>
  </si>
  <si>
    <t xml:space="preserve">מקסימום</t>
  </si>
  <si>
    <t xml:space="preserve">יצירתיות</t>
  </si>
  <si>
    <t xml:space="preserve">קבלת החלטות בפתרון בעיות</t>
  </si>
  <si>
    <t xml:space="preserve">הנאה מלמידה</t>
  </si>
  <si>
    <t xml:space="preserve">לפי קבוצה</t>
  </si>
  <si>
    <t xml:space="preserve">תלמידים טיפוסיים</t>
  </si>
  <si>
    <t xml:space="preserve">תלמידים מתקשים</t>
  </si>
  <si>
    <t xml:space="preserve">מאפייני המדגם</t>
  </si>
  <si>
    <t xml:space="preserve">משתנה / קטגוריה</t>
  </si>
  <si>
    <t xml:space="preserve">n</t>
  </si>
  <si>
    <t xml:space="preserve">%</t>
  </si>
  <si>
    <t xml:space="preserve">סה"כ שאלונים</t>
  </si>
  <si>
    <t xml:space="preserve">   בן</t>
  </si>
  <si>
    <t xml:space="preserve">   בת</t>
  </si>
  <si>
    <t xml:space="preserve">   ז'</t>
  </si>
  <si>
    <t xml:space="preserve">   ח'</t>
  </si>
  <si>
    <t xml:space="preserve">   ט'</t>
  </si>
  <si>
    <t xml:space="preserve">ציון אחרון במדעים</t>
  </si>
  <si>
    <t xml:space="preserve">   מתחת ל-55</t>
  </si>
  <si>
    <t xml:space="preserve">   55–69</t>
  </si>
  <si>
    <t xml:space="preserve">   70–84</t>
  </si>
  <si>
    <t xml:space="preserve">   85–100</t>
  </si>
  <si>
    <t xml:space="preserve">אבחון לקות למידה / קשב</t>
  </si>
  <si>
    <t xml:space="preserve">   כן</t>
  </si>
  <si>
    <t xml:space="preserve">   לא</t>
  </si>
  <si>
    <t xml:space="preserve">   לא יודע/ת</t>
  </si>
  <si>
    <t xml:space="preserve">שעות תמיכה / שילוב</t>
  </si>
  <si>
    <t xml:space="preserve">   טיפוסי</t>
  </si>
  <si>
    <t xml:space="preserve">   מתקשה</t>
  </si>
  <si>
    <t xml:space="preserve">גיל: ממוצע (סטיית תקן)</t>
  </si>
  <si>
    <t xml:space="preserve">מתאמי פירסון בין המשתנים (שאלת המחקר)</t>
  </si>
  <si>
    <t xml:space="preserve">r = מתאם פירסון; p דו-צדדי; * p&lt;.05  ** p&lt;.01  *** p&lt;.001</t>
  </si>
  <si>
    <t xml:space="preserve">כל המדגם</t>
  </si>
  <si>
    <t xml:space="preserve">זוג משתנים</t>
  </si>
  <si>
    <t xml:space="preserve">r</t>
  </si>
  <si>
    <t xml:space="preserve">p</t>
  </si>
  <si>
    <t xml:space="preserve">מובהקות</t>
  </si>
  <si>
    <t xml:space="preserve">יצירתיות × קבלת החלטות</t>
  </si>
  <si>
    <t xml:space="preserve">יצירתיות × הנאה מלמידה</t>
  </si>
  <si>
    <t xml:space="preserve">קבלת החלטות × הנאה מלמידה</t>
  </si>
  <si>
    <t xml:space="preserve">איך לקרוא: r חיובי = ככל שמשתנה אחד גבוה יותר, גם השני גבוה יותר. r≈.10 חלש, ≈.30 בינוני, ≥.50 חזק (Cohen, 1988).</t>
  </si>
  <si>
    <t xml:space="preserve">השוואה בין תלמידים טיפוסיים למתקשים (מבחן t של Welch)</t>
  </si>
  <si>
    <t xml:space="preserve">Welch אינו מניח שוויון שונויות. d של כהן: ≈.20 קטן, ≈.50 בינוני, ≥.80 גדול.</t>
  </si>
  <si>
    <t xml:space="preserve">N טיפוסי</t>
  </si>
  <si>
    <t xml:space="preserve">ממוצע טיפוסי</t>
  </si>
  <si>
    <t xml:space="preserve">ס"ת טיפוסי</t>
  </si>
  <si>
    <t xml:space="preserve">N מתקשה</t>
  </si>
  <si>
    <t xml:space="preserve">ממוצע מתקשה</t>
  </si>
  <si>
    <t xml:space="preserve">ס"ת מתקשה</t>
  </si>
  <si>
    <t xml:space="preserve">t</t>
  </si>
  <si>
    <t xml:space="preserve">df</t>
  </si>
  <si>
    <t xml:space="preserve">d של כהן</t>
  </si>
  <si>
    <t xml:space="preserve">t חיובי = הממוצע של התלמידים הטיפוסיים גבוה יותר. הערה: TDIST מעגל את df כלפי מטה למספר שלם, ולכן p עשוי להיות שמרני מעט.</t>
  </si>
  <si>
    <t xml:space="preserve">מהימנות פנימית – אלפא של קרונבך</t>
  </si>
  <si>
    <t xml:space="preserve">α ≥ .70 נחשב מקובל. מחושב על ההיגדים אחרי היפוך (החלטות 7–10).</t>
  </si>
  <si>
    <t xml:space="preserve">סולם</t>
  </si>
  <si>
    <t xml:space="preserve">מס' היגדים (k)</t>
  </si>
  <si>
    <t xml:space="preserve">סכום שונויות ההיגדים</t>
  </si>
  <si>
    <t xml:space="preserve">שונות הציון הכולל</t>
  </si>
  <si>
    <t xml:space="preserve">α קרונבך</t>
  </si>
  <si>
    <t xml:space="preserve">n שאלונים מלאים</t>
  </si>
  <si>
    <t xml:space="preserve">הערה: שונות כל היגד מחושבת על כל התשובות להיגד, ושונות הציון הכולל רק על שאלונים מלאים. כשכמעט כל השאלונים מלאים ההבדל זניח; לחישוב מדויק אפשר להשתמש ב-SPSS.</t>
  </si>
  <si>
    <t xml:space="preserve">ספר קודים – איך מקלידים כל שאלה</t>
  </si>
  <si>
    <t xml:space="preserve">עמודה</t>
  </si>
  <si>
    <t xml:space="preserve">קוד</t>
  </si>
  <si>
    <t xml:space="preserve">שאלה / היגד</t>
  </si>
  <si>
    <t xml:space="preserve">ערכים להקלדה</t>
  </si>
  <si>
    <t xml:space="preserve">היפוך?</t>
  </si>
  <si>
    <t xml:space="preserve">מקור</t>
  </si>
  <si>
    <t xml:space="preserve">A</t>
  </si>
  <si>
    <t xml:space="preserve">מספר שאלון (רץ: 1, 2, 3...)</t>
  </si>
  <si>
    <t xml:space="preserve">מספר שלם</t>
  </si>
  <si>
    <t xml:space="preserve">—</t>
  </si>
  <si>
    <t xml:space="preserve">B</t>
  </si>
  <si>
    <t xml:space="preserve">1=בן, 2=בת</t>
  </si>
  <si>
    <t xml:space="preserve">C</t>
  </si>
  <si>
    <t xml:space="preserve">1=ז', 2=ח', 3=ט'</t>
  </si>
  <si>
    <t xml:space="preserve">D</t>
  </si>
  <si>
    <t xml:space="preserve">מספר בשנים</t>
  </si>
  <si>
    <t xml:space="preserve">E</t>
  </si>
  <si>
    <t xml:space="preserve">הציון האחרון שלך במדעים בתעודה</t>
  </si>
  <si>
    <t xml:space="preserve">1=מתחת ל-55, 2=55–69, 3=70–84, 4=85–100</t>
  </si>
  <si>
    <t xml:space="preserve">F</t>
  </si>
  <si>
    <t xml:space="preserve">האם אובחנת עם לקות למידה או הפרעת קשב?</t>
  </si>
  <si>
    <t xml:space="preserve">1=כן, 2=לא, 3=לא יודע/ת</t>
  </si>
  <si>
    <t xml:space="preserve">G</t>
  </si>
  <si>
    <t xml:space="preserve">האם את/ה מקבל/ת שעות תמיכה, שילוב או הוראה מתקנת?</t>
  </si>
  <si>
    <t xml:space="preserve">1=כן, 2=לא</t>
  </si>
  <si>
    <t xml:space="preserve">H</t>
  </si>
  <si>
    <t xml:space="preserve">אני מצליח/ה לחשוב על פתרונות שרוב החברים שלי לא חושבים עליהם.</t>
  </si>
  <si>
    <t xml:space="preserve">1–5</t>
  </si>
  <si>
    <t xml:space="preserve">Park, Kang &amp; Kim (2023), Frontiers in Psychology, 14, 1068554 – תרגום ועיבוד</t>
  </si>
  <si>
    <t xml:space="preserve">I</t>
  </si>
  <si>
    <t xml:space="preserve">אני יכול/ה לחשוב על דברים שיעזרו לפתור בעיות חדשות.</t>
  </si>
  <si>
    <t xml:space="preserve">J</t>
  </si>
  <si>
    <t xml:space="preserve">גם כשאני שומע/ת רק חלק מהדברים, אני יכול/ה לדמיין את התמונה כולה.</t>
  </si>
  <si>
    <t xml:space="preserve">K</t>
  </si>
  <si>
    <t xml:space="preserve">אני מצליח/ה לחבר בין דברים שנראים לא קשורים זה לזה.</t>
  </si>
  <si>
    <t xml:space="preserve">L</t>
  </si>
  <si>
    <t xml:space="preserve">אני מצליח/ה למצוא הרבה רעיונות חדשים בזמן קצר.</t>
  </si>
  <si>
    <t xml:space="preserve">M</t>
  </si>
  <si>
    <t xml:space="preserve">אני טוב/ה בהעלאת רעיונות חדשים.</t>
  </si>
  <si>
    <t xml:space="preserve">Beghetto (2006), Creativity Research Journal, 18, 447–457 – תרגום ועיבוד</t>
  </si>
  <si>
    <t xml:space="preserve">יש לי הרבה רעיונות טובים.</t>
  </si>
  <si>
    <t xml:space="preserve">O</t>
  </si>
  <si>
    <t xml:space="preserve">יש לי דמיון טוב.</t>
  </si>
  <si>
    <t xml:space="preserve">P</t>
  </si>
  <si>
    <t xml:space="preserve">אני אוהב/ת לשקול את כל האפשרויות לפני שאני מחליט/ה.</t>
  </si>
  <si>
    <t xml:space="preserve">קבלת החלטות</t>
  </si>
  <si>
    <t xml:space="preserve">Mann et al. (1997), Melbourne Decision Making Questionnaire, J. of Behavioral Decision Making, 10, 1–19 – ערנות (vigilance), תרגום ועיבוד</t>
  </si>
  <si>
    <t xml:space="preserve">Q</t>
  </si>
  <si>
    <t xml:space="preserve">אני מנסה לבדוק מה החסרונות של כל אפשרות.</t>
  </si>
  <si>
    <t xml:space="preserve">R</t>
  </si>
  <si>
    <t xml:space="preserve">אני חושב/ת מה הדרך הטובה ביותר לבצע את מה שהחלטתי.</t>
  </si>
  <si>
    <t xml:space="preserve">S</t>
  </si>
  <si>
    <t xml:space="preserve">לפני שאני מחליט/ה, אני אוסף/ת כמה שיותר מידע.</t>
  </si>
  <si>
    <t xml:space="preserve">T</t>
  </si>
  <si>
    <t xml:space="preserve">לפני שאני בוחר/ת פתרון, אני מנסה להבין בדיוק מה המטרה שלי.</t>
  </si>
  <si>
    <t xml:space="preserve">U</t>
  </si>
  <si>
    <t xml:space="preserve">אני בוחר/ת פתרון בזהירות ולא בחיפזון.</t>
  </si>
  <si>
    <t xml:space="preserve">V</t>
  </si>
  <si>
    <t xml:space="preserve">אני דוחה את ההחלטה עד שכבר מאוחר מדי.</t>
  </si>
  <si>
    <t xml:space="preserve">כן</t>
  </si>
  <si>
    <t xml:space="preserve">Mann et al. (1997), Melbourne Decision Making Questionnaire, J. of Behavioral Decision Making, 10, 1–19 – דחיינות (procrastination), תרגום ועיבוד</t>
  </si>
  <si>
    <t xml:space="preserve">W</t>
  </si>
  <si>
    <t xml:space="preserve">גם אחרי שהחלטתי, אני מתעכב/ת בביצוע.</t>
  </si>
  <si>
    <t xml:space="preserve">X</t>
  </si>
  <si>
    <t xml:space="preserve">כשאני צריך/ה להחליט, אני מחכה הרבה זמן לפני שאני מתחיל/ה לחשוב על זה.</t>
  </si>
  <si>
    <t xml:space="preserve">Y</t>
  </si>
  <si>
    <t xml:space="preserve">אני מבזבז/ת הרבה זמן על דברים לא חשובים לפני שאני מגיע/ה להחלטה.</t>
  </si>
  <si>
    <t xml:space="preserve">Z</t>
  </si>
  <si>
    <t xml:space="preserve">אני נהנה/ית להיות בשיעורי מדעים.</t>
  </si>
  <si>
    <t xml:space="preserve">בהשראת סולם ההנאה ב-AEQ: Pekrun et al. (2011), Contemporary Educational Psychology, 36, 36–48 – עיבוד לשיעורי מדעים</t>
  </si>
  <si>
    <t xml:space="preserve">AA</t>
  </si>
  <si>
    <t xml:space="preserve">אחרי שיעור מדעים אני מחכה לשיעור הבא.</t>
  </si>
  <si>
    <t xml:space="preserve">AB</t>
  </si>
  <si>
    <t xml:space="preserve">אני מצפה ללמוד הרבה דברים חדשים בשיעורי מדעים.</t>
  </si>
  <si>
    <t xml:space="preserve">AC</t>
  </si>
  <si>
    <t xml:space="preserve">אני שמח/ה כשאני מבין/ה את החומר בשיעור מדעים.</t>
  </si>
  <si>
    <t xml:space="preserve">AD</t>
  </si>
  <si>
    <t xml:space="preserve">שיעורי מדעים מעניינים אותי.</t>
  </si>
  <si>
    <t xml:space="preserve">AE</t>
  </si>
  <si>
    <t xml:space="preserve">ההנאה שלי בשיעור מדעים גורמת לי לרצות להשתתף.</t>
  </si>
  <si>
    <t xml:space="preserve">AF</t>
  </si>
  <si>
    <t xml:space="preserve">אני נהנה/ית לפתור בעיות ומשימות בשיעורי מדעים.</t>
  </si>
  <si>
    <t xml:space="preserve">AG</t>
  </si>
  <si>
    <t xml:space="preserve">הזמן עובר מהר בשיעורי מדעים כי אני נהנה/ית.</t>
  </si>
  <si>
    <t xml:space="preserve">סולם 1–5 בהיגדים: 1=בכלל לא נכון לגביי, 2=לא כל כך נכון, 3=נכון במידה בינונית, 4=נכון, 5=נכון מאוד לגביי. תשובה חסרה = להשאיר ריק.</t>
  </si>
  <si>
    <t xml:space="preserve">היגדים 7–10 בקבלת החלטות (דחיינות) מתהפכים אוטומטית (6 פחות הערך), כך שציון גבוה = קבלת החלטות טובה יותר.</t>
  </si>
  <si>
    <t xml:space="preserve">הגדרת 'תלמיד מתקשה' (GROUP=2): אבחון=כן, או תמיכה/שילוב=כן, או ציון מדעים מתחת ל-70. 'טיפוסי' (GROUP=1): אף אחד מאלה. כדאי לאשר את ההגדרה עם המרצה.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</si>
</sst>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0"/>
    <numFmt numFmtId="167" formatCode="0.0%"/>
    <numFmt numFmtId="168" formatCode="0.000"/>
    <numFmt numFmtId="169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sz val="11"/>
      <color theme="1"/>
      <name val="FreeSans"/>
      <family val="2"/>
    </font>
    <font>
      <i val="true"/>
      <sz val="10"/>
      <color rgb="FF595959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3" min="1" style="1" width="7.5"/>
  </cols>
  <sheetData>
    <row r="1" customFormat="false" ht="1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customFormat="false" ht="18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customFormat="false" ht="30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customFormat="false" ht="18" hidden="false" customHeight="true" outlineLevel="0" collapsed="false">
      <c r="A6" s="3" t="s">
        <v>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customFormat="false" ht="30" hidden="false" customHeight="true" outlineLevel="0" collapsed="false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customFormat="false" ht="18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customFormat="false" ht="18" hidden="false" customHeight="true" outlineLevel="0" collapsed="false">
      <c r="A9" s="4" t="s">
        <v>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customFormat="false" ht="18" hidden="false" customHeight="true" outlineLevel="0" collapsed="false">
      <c r="A10" s="3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customFormat="false" ht="18" hidden="false" customHeight="true" outlineLevel="0" collapsed="false">
      <c r="A11" s="3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customFormat="false" ht="30" hidden="false" customHeight="true" outlineLevel="0" collapsed="false">
      <c r="A12" s="3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customFormat="false" ht="18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customFormat="false" ht="18" hidden="false" customHeight="true" outlineLevel="0" collapsed="false">
      <c r="A14" s="4" t="s">
        <v>11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customFormat="false" ht="26.25" hidden="false" customHeight="true" outlineLevel="0" collapsed="false">
      <c r="A15" s="5" t="s">
        <v>12</v>
      </c>
      <c r="B15" s="5" t="s">
        <v>13</v>
      </c>
      <c r="C15" s="5" t="s">
        <v>14</v>
      </c>
      <c r="D15" s="5" t="s">
        <v>15</v>
      </c>
      <c r="E15" s="5" t="s">
        <v>16</v>
      </c>
      <c r="F15" s="5" t="s">
        <v>17</v>
      </c>
      <c r="G15" s="5" t="s">
        <v>18</v>
      </c>
      <c r="H15" s="5" t="s">
        <v>19</v>
      </c>
      <c r="I15" s="5" t="s">
        <v>20</v>
      </c>
      <c r="J15" s="5" t="s">
        <v>21</v>
      </c>
      <c r="K15" s="5" t="s">
        <v>22</v>
      </c>
      <c r="L15" s="5" t="s">
        <v>23</v>
      </c>
      <c r="M15" s="5" t="s">
        <v>24</v>
      </c>
      <c r="N15" s="5" t="s">
        <v>25</v>
      </c>
      <c r="O15" s="5" t="s">
        <v>26</v>
      </c>
      <c r="P15" s="5" t="s">
        <v>27</v>
      </c>
      <c r="Q15" s="5" t="s">
        <v>28</v>
      </c>
      <c r="R15" s="5" t="s">
        <v>29</v>
      </c>
      <c r="S15" s="5" t="s">
        <v>30</v>
      </c>
      <c r="T15" s="5" t="s">
        <v>31</v>
      </c>
      <c r="U15" s="5" t="s">
        <v>32</v>
      </c>
      <c r="V15" s="5" t="s">
        <v>33</v>
      </c>
      <c r="W15" s="5" t="s">
        <v>34</v>
      </c>
      <c r="X15" s="5" t="s">
        <v>35</v>
      </c>
      <c r="Y15" s="5" t="s">
        <v>36</v>
      </c>
      <c r="Z15" s="5" t="s">
        <v>37</v>
      </c>
      <c r="AA15" s="5" t="s">
        <v>38</v>
      </c>
      <c r="AB15" s="5" t="s">
        <v>39</v>
      </c>
      <c r="AC15" s="5" t="s">
        <v>40</v>
      </c>
      <c r="AD15" s="5" t="s">
        <v>41</v>
      </c>
      <c r="AE15" s="5" t="s">
        <v>42</v>
      </c>
      <c r="AF15" s="5" t="s">
        <v>43</v>
      </c>
      <c r="AG15" s="5" t="s">
        <v>44</v>
      </c>
    </row>
    <row r="16" customFormat="false" ht="15" hidden="false" customHeight="true" outlineLevel="0" collapsed="false">
      <c r="A16" s="6" t="n">
        <v>1</v>
      </c>
      <c r="B16" s="6" t="n">
        <v>2</v>
      </c>
      <c r="C16" s="6" t="n">
        <v>2</v>
      </c>
      <c r="D16" s="6" t="n">
        <v>13</v>
      </c>
      <c r="E16" s="6" t="n">
        <v>3</v>
      </c>
      <c r="F16" s="6" t="n">
        <v>2</v>
      </c>
      <c r="G16" s="6" t="n">
        <v>2</v>
      </c>
      <c r="H16" s="6" t="n">
        <v>4</v>
      </c>
      <c r="I16" s="6" t="n">
        <v>4</v>
      </c>
      <c r="J16" s="6" t="n">
        <v>3</v>
      </c>
      <c r="K16" s="6" t="n">
        <v>4</v>
      </c>
      <c r="L16" s="6" t="n">
        <v>3</v>
      </c>
      <c r="M16" s="6" t="n">
        <v>4</v>
      </c>
      <c r="N16" s="6" t="n">
        <v>4</v>
      </c>
      <c r="O16" s="6" t="n">
        <v>5</v>
      </c>
      <c r="P16" s="6" t="n">
        <v>4</v>
      </c>
      <c r="Q16" s="6" t="n">
        <v>3</v>
      </c>
      <c r="R16" s="6" t="n">
        <v>4</v>
      </c>
      <c r="S16" s="6" t="n">
        <v>3</v>
      </c>
      <c r="T16" s="6" t="n">
        <v>4</v>
      </c>
      <c r="U16" s="6" t="n">
        <v>4</v>
      </c>
      <c r="V16" s="6" t="n">
        <v>2</v>
      </c>
      <c r="W16" s="6" t="n">
        <v>2</v>
      </c>
      <c r="X16" s="6" t="n">
        <v>3</v>
      </c>
      <c r="Y16" s="6" t="n">
        <v>2</v>
      </c>
      <c r="Z16" s="6" t="n">
        <v>4</v>
      </c>
      <c r="AA16" s="6" t="n">
        <v>3</v>
      </c>
      <c r="AB16" s="6" t="n">
        <v>4</v>
      </c>
      <c r="AC16" s="6" t="n">
        <v>5</v>
      </c>
      <c r="AD16" s="6" t="n">
        <v>4</v>
      </c>
      <c r="AE16" s="6" t="n">
        <v>4</v>
      </c>
      <c r="AF16" s="6" t="n">
        <v>4</v>
      </c>
      <c r="AG16" s="6" t="n">
        <v>3</v>
      </c>
    </row>
    <row r="17" customFormat="false" ht="13.5" hidden="false" customHeight="true" outlineLevel="0" collapsed="false">
      <c r="A17" s="7" t="s">
        <v>45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9" customFormat="false" ht="15" hidden="false" customHeight="false" outlineLevel="0" collapsed="false">
      <c r="A19" s="8" t="s">
        <v>46</v>
      </c>
    </row>
  </sheetData>
  <mergeCells count="15">
    <mergeCell ref="A1:AH1"/>
    <mergeCell ref="A2:AH2"/>
    <mergeCell ref="A3:AH3"/>
    <mergeCell ref="A4:AH4"/>
    <mergeCell ref="A5:AH5"/>
    <mergeCell ref="A6:AH6"/>
    <mergeCell ref="A7:AH7"/>
    <mergeCell ref="A8:AH8"/>
    <mergeCell ref="A9:AH9"/>
    <mergeCell ref="A10:AH10"/>
    <mergeCell ref="A11:AH11"/>
    <mergeCell ref="A12:AH12"/>
    <mergeCell ref="A13:AH13"/>
    <mergeCell ref="A14:AH14"/>
    <mergeCell ref="A17:A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30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3" min="1" style="1" width="9"/>
    <col collapsed="false" customWidth="true" hidden="false" outlineLevel="0" max="51" min="34" style="1" width="11"/>
  </cols>
  <sheetData>
    <row r="1" customFormat="false" ht="26.25" hidden="false" customHeight="true" outlineLevel="0" collapsed="false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26</v>
      </c>
      <c r="P1" s="5" t="s">
        <v>27</v>
      </c>
      <c r="Q1" s="5" t="s">
        <v>28</v>
      </c>
      <c r="R1" s="5" t="s">
        <v>29</v>
      </c>
      <c r="S1" s="5" t="s">
        <v>30</v>
      </c>
      <c r="T1" s="5" t="s">
        <v>31</v>
      </c>
      <c r="U1" s="5" t="s">
        <v>32</v>
      </c>
      <c r="V1" s="5" t="s">
        <v>33</v>
      </c>
      <c r="W1" s="5" t="s">
        <v>34</v>
      </c>
      <c r="X1" s="5" t="s">
        <v>35</v>
      </c>
      <c r="Y1" s="5" t="s">
        <v>36</v>
      </c>
      <c r="Z1" s="5" t="s">
        <v>37</v>
      </c>
      <c r="AA1" s="5" t="s">
        <v>38</v>
      </c>
      <c r="AB1" s="5" t="s">
        <v>39</v>
      </c>
      <c r="AC1" s="5" t="s">
        <v>40</v>
      </c>
      <c r="AD1" s="5" t="s">
        <v>41</v>
      </c>
      <c r="AE1" s="5" t="s">
        <v>42</v>
      </c>
      <c r="AF1" s="5" t="s">
        <v>43</v>
      </c>
      <c r="AG1" s="5" t="s">
        <v>44</v>
      </c>
      <c r="AH1" s="9" t="s">
        <v>47</v>
      </c>
      <c r="AI1" s="9" t="s">
        <v>48</v>
      </c>
      <c r="AJ1" s="9" t="s">
        <v>49</v>
      </c>
      <c r="AK1" s="9" t="s">
        <v>50</v>
      </c>
      <c r="AL1" s="9" t="s">
        <v>51</v>
      </c>
      <c r="AM1" s="9" t="s">
        <v>52</v>
      </c>
      <c r="AN1" s="9" t="s">
        <v>53</v>
      </c>
      <c r="AO1" s="9" t="s">
        <v>54</v>
      </c>
      <c r="AP1" s="9" t="s">
        <v>55</v>
      </c>
      <c r="AQ1" s="9" t="s">
        <v>56</v>
      </c>
      <c r="AR1" s="9" t="s">
        <v>57</v>
      </c>
      <c r="AS1" s="9" t="s">
        <v>58</v>
      </c>
      <c r="AT1" s="9" t="s">
        <v>59</v>
      </c>
      <c r="AU1" s="9" t="s">
        <v>60</v>
      </c>
      <c r="AV1" s="9" t="s">
        <v>61</v>
      </c>
      <c r="AW1" s="9" t="s">
        <v>62</v>
      </c>
      <c r="AX1" s="9" t="s">
        <v>63</v>
      </c>
      <c r="AY1" s="9" t="s">
        <v>64</v>
      </c>
    </row>
    <row r="2" customFormat="false" ht="45" hidden="false" customHeight="true" outlineLevel="0" collapsed="false">
      <c r="A2" s="5" t="s">
        <v>65</v>
      </c>
      <c r="B2" s="5" t="s">
        <v>66</v>
      </c>
      <c r="C2" s="5" t="s">
        <v>67</v>
      </c>
      <c r="D2" s="5" t="s">
        <v>68</v>
      </c>
      <c r="E2" s="5" t="s">
        <v>69</v>
      </c>
      <c r="F2" s="5" t="s">
        <v>70</v>
      </c>
      <c r="G2" s="5" t="s">
        <v>71</v>
      </c>
      <c r="H2" s="5" t="s">
        <v>72</v>
      </c>
      <c r="I2" s="5" t="s">
        <v>73</v>
      </c>
      <c r="J2" s="5" t="s">
        <v>74</v>
      </c>
      <c r="K2" s="5" t="s">
        <v>75</v>
      </c>
      <c r="L2" s="5" t="s">
        <v>76</v>
      </c>
      <c r="M2" s="5" t="s">
        <v>77</v>
      </c>
      <c r="N2" s="5" t="s">
        <v>78</v>
      </c>
      <c r="O2" s="5" t="s">
        <v>79</v>
      </c>
      <c r="P2" s="5" t="s">
        <v>80</v>
      </c>
      <c r="Q2" s="5" t="s">
        <v>81</v>
      </c>
      <c r="R2" s="5" t="s">
        <v>82</v>
      </c>
      <c r="S2" s="5" t="s">
        <v>83</v>
      </c>
      <c r="T2" s="5" t="s">
        <v>84</v>
      </c>
      <c r="U2" s="5" t="s">
        <v>85</v>
      </c>
      <c r="V2" s="5" t="s">
        <v>86</v>
      </c>
      <c r="W2" s="5" t="s">
        <v>87</v>
      </c>
      <c r="X2" s="5" t="s">
        <v>88</v>
      </c>
      <c r="Y2" s="5" t="s">
        <v>89</v>
      </c>
      <c r="Z2" s="5" t="s">
        <v>90</v>
      </c>
      <c r="AA2" s="5" t="s">
        <v>91</v>
      </c>
      <c r="AB2" s="5" t="s">
        <v>92</v>
      </c>
      <c r="AC2" s="5" t="s">
        <v>93</v>
      </c>
      <c r="AD2" s="5" t="s">
        <v>94</v>
      </c>
      <c r="AE2" s="5" t="s">
        <v>95</v>
      </c>
      <c r="AF2" s="5" t="s">
        <v>96</v>
      </c>
      <c r="AG2" s="5" t="s">
        <v>97</v>
      </c>
      <c r="AH2" s="9" t="s">
        <v>98</v>
      </c>
      <c r="AI2" s="9" t="s">
        <v>99</v>
      </c>
      <c r="AJ2" s="9" t="s">
        <v>100</v>
      </c>
      <c r="AK2" s="9" t="s">
        <v>101</v>
      </c>
      <c r="AL2" s="9" t="s">
        <v>102</v>
      </c>
      <c r="AM2" s="9" t="s">
        <v>103</v>
      </c>
      <c r="AN2" s="9" t="s">
        <v>104</v>
      </c>
      <c r="AO2" s="9" t="s">
        <v>105</v>
      </c>
      <c r="AP2" s="9" t="s">
        <v>106</v>
      </c>
      <c r="AQ2" s="9" t="s">
        <v>107</v>
      </c>
      <c r="AR2" s="9" t="s">
        <v>108</v>
      </c>
      <c r="AS2" s="9" t="s">
        <v>109</v>
      </c>
      <c r="AT2" s="9" t="s">
        <v>110</v>
      </c>
      <c r="AU2" s="9" t="s">
        <v>111</v>
      </c>
      <c r="AV2" s="9" t="s">
        <v>112</v>
      </c>
      <c r="AW2" s="9" t="s">
        <v>113</v>
      </c>
      <c r="AX2" s="9" t="s">
        <v>114</v>
      </c>
      <c r="AY2" s="9" t="s">
        <v>115</v>
      </c>
    </row>
    <row r="3" customFormat="false" ht="15" hidden="false" customHeight="true" outlineLevel="0" collapsed="false">
      <c r="A3" s="10" t="n">
        <v>1</v>
      </c>
      <c r="B3" s="10" t="n">
        <v>2</v>
      </c>
      <c r="C3" s="10" t="n">
        <v>3</v>
      </c>
      <c r="D3" s="10" t="n">
        <v>14</v>
      </c>
      <c r="E3" s="10" t="n">
        <v>2</v>
      </c>
      <c r="F3" s="10" t="n">
        <v>1</v>
      </c>
      <c r="G3" s="10" t="n">
        <v>1</v>
      </c>
      <c r="H3" s="10" t="n">
        <v>3</v>
      </c>
      <c r="I3" s="10" t="n">
        <v>2</v>
      </c>
      <c r="J3" s="10" t="n">
        <v>2</v>
      </c>
      <c r="K3" s="10" t="n">
        <v>3</v>
      </c>
      <c r="L3" s="10" t="n">
        <v>2</v>
      </c>
      <c r="M3" s="10" t="n">
        <v>2</v>
      </c>
      <c r="N3" s="10" t="n">
        <v>1</v>
      </c>
      <c r="O3" s="10" t="n">
        <v>3</v>
      </c>
      <c r="P3" s="10" t="n">
        <v>4</v>
      </c>
      <c r="Q3" s="10" t="n">
        <v>1</v>
      </c>
      <c r="R3" s="10" t="n">
        <v>3</v>
      </c>
      <c r="S3" s="10" t="n">
        <v>3</v>
      </c>
      <c r="T3" s="10" t="n">
        <v>1</v>
      </c>
      <c r="U3" s="10" t="n">
        <v>2</v>
      </c>
      <c r="V3" s="10" t="n">
        <v>3</v>
      </c>
      <c r="W3" s="10" t="n">
        <v>5</v>
      </c>
      <c r="X3" s="10" t="n">
        <v>4</v>
      </c>
      <c r="Y3" s="10" t="n">
        <v>3</v>
      </c>
      <c r="Z3" s="10" t="n">
        <v>3</v>
      </c>
      <c r="AA3" s="10" t="n">
        <v>4</v>
      </c>
      <c r="AB3" s="10" t="n">
        <v>2</v>
      </c>
      <c r="AC3" s="10" t="n">
        <v>4</v>
      </c>
      <c r="AD3" s="10" t="n">
        <v>3</v>
      </c>
      <c r="AE3" s="10" t="n">
        <v>4</v>
      </c>
      <c r="AF3" s="10" t="n">
        <v>3</v>
      </c>
      <c r="AG3" s="10" t="n">
        <v>3</v>
      </c>
      <c r="AH3" s="11" t="n">
        <f aca="false">IF(V3="","",6-V3)</f>
        <v>3</v>
      </c>
      <c r="AI3" s="11" t="n">
        <f aca="false">IF(W3="","",6-W3)</f>
        <v>1</v>
      </c>
      <c r="AJ3" s="11" t="n">
        <f aca="false">IF(X3="","",6-X3)</f>
        <v>2</v>
      </c>
      <c r="AK3" s="11" t="n">
        <f aca="false">IF(Y3="","",6-Y3)</f>
        <v>3</v>
      </c>
      <c r="AL3" s="11" t="n">
        <f aca="false">IF(COUNT(H3:O3)=8,SUM(H3:O3),"")</f>
        <v>18</v>
      </c>
      <c r="AM3" s="11" t="n">
        <f aca="false">IF(COUNT(P3:U3,AH3:AK3)=10,SUM(P3:U3,AH3:AK3),"")</f>
        <v>23</v>
      </c>
      <c r="AN3" s="11" t="n">
        <f aca="false">IF(COUNT(Z3:AG3)=8,SUM(Z3:AG3),"")</f>
        <v>26</v>
      </c>
      <c r="AO3" s="12" t="n">
        <f aca="false">IF(AL3="","",AL3/8)</f>
        <v>2.25</v>
      </c>
      <c r="AP3" s="12" t="n">
        <f aca="false">IF(AM3="","",AM3/10)</f>
        <v>2.3</v>
      </c>
      <c r="AQ3" s="12" t="n">
        <f aca="false">IF(AN3="","",AN3/8)</f>
        <v>3.25</v>
      </c>
      <c r="AR3" s="11" t="n">
        <f aca="false">IF(A3="","",IF(OR(F3=1,G3=1,AND(E3&lt;&gt;"",E3&lt;=2)),2,IF(AND(E3&gt;=3,G3=2,OR(F3=2,F3=3)),1,"")))</f>
        <v>2</v>
      </c>
      <c r="AS3" s="11" t="str">
        <f aca="false">IF(AR3=1,"טיפוסי",IF(AR3=2,"מתקשה",""))</f>
        <v>מתקשה</v>
      </c>
      <c r="AT3" s="12" t="str">
        <f aca="false">IF(AR3=1,AO3,"")</f>
        <v/>
      </c>
      <c r="AU3" s="12" t="n">
        <f aca="false">IF(AR3=2,AO3,"")</f>
        <v>2.25</v>
      </c>
      <c r="AV3" s="12" t="str">
        <f aca="false">IF(AR3=1,AP3,"")</f>
        <v/>
      </c>
      <c r="AW3" s="12" t="n">
        <f aca="false">IF(AR3=2,AP3,"")</f>
        <v>2.3</v>
      </c>
      <c r="AX3" s="12" t="str">
        <f aca="false">IF(AR3=1,AQ3,"")</f>
        <v/>
      </c>
      <c r="AY3" s="12" t="n">
        <f aca="false">IF(AR3=2,AQ3,"")</f>
        <v>3.25</v>
      </c>
    </row>
    <row r="4" customFormat="false" ht="15" hidden="false" customHeight="true" outlineLevel="0" collapsed="false">
      <c r="A4" s="10" t="n">
        <v>2</v>
      </c>
      <c r="B4" s="10" t="n">
        <v>1</v>
      </c>
      <c r="C4" s="10" t="n">
        <v>3</v>
      </c>
      <c r="D4" s="10" t="n">
        <v>15</v>
      </c>
      <c r="E4" s="10" t="n">
        <v>4</v>
      </c>
      <c r="F4" s="10" t="n">
        <v>2</v>
      </c>
      <c r="G4" s="10" t="n">
        <v>2</v>
      </c>
      <c r="H4" s="10" t="n">
        <v>3</v>
      </c>
      <c r="I4" s="10" t="n">
        <v>5</v>
      </c>
      <c r="J4" s="10" t="n">
        <v>4</v>
      </c>
      <c r="K4" s="10" t="n">
        <v>5</v>
      </c>
      <c r="L4" s="10" t="n">
        <v>3</v>
      </c>
      <c r="M4" s="10" t="n">
        <v>4</v>
      </c>
      <c r="N4" s="10" t="n">
        <v>5</v>
      </c>
      <c r="O4" s="10" t="n">
        <v>4</v>
      </c>
      <c r="P4" s="10" t="n">
        <v>4</v>
      </c>
      <c r="Q4" s="10" t="n">
        <v>5</v>
      </c>
      <c r="R4" s="10" t="n">
        <v>2</v>
      </c>
      <c r="S4" s="10" t="n">
        <v>3</v>
      </c>
      <c r="T4" s="10" t="n">
        <v>3</v>
      </c>
      <c r="U4" s="10" t="n">
        <v>3</v>
      </c>
      <c r="V4" s="10" t="n">
        <v>2</v>
      </c>
      <c r="W4" s="10" t="n">
        <v>2</v>
      </c>
      <c r="X4" s="10" t="n">
        <v>4</v>
      </c>
      <c r="Y4" s="10" t="n">
        <v>3</v>
      </c>
      <c r="Z4" s="10" t="n">
        <v>4</v>
      </c>
      <c r="AA4" s="10" t="n">
        <v>4</v>
      </c>
      <c r="AB4" s="10" t="n">
        <v>4</v>
      </c>
      <c r="AC4" s="10" t="n">
        <v>3</v>
      </c>
      <c r="AD4" s="10" t="n">
        <v>3</v>
      </c>
      <c r="AE4" s="10" t="n">
        <v>5</v>
      </c>
      <c r="AF4" s="10" t="n">
        <v>5</v>
      </c>
      <c r="AG4" s="10" t="n">
        <v>4</v>
      </c>
      <c r="AH4" s="11" t="n">
        <f aca="false">IF(V4="","",6-V4)</f>
        <v>4</v>
      </c>
      <c r="AI4" s="11" t="n">
        <f aca="false">IF(W4="","",6-W4)</f>
        <v>4</v>
      </c>
      <c r="AJ4" s="11" t="n">
        <f aca="false">IF(X4="","",6-X4)</f>
        <v>2</v>
      </c>
      <c r="AK4" s="11" t="n">
        <f aca="false">IF(Y4="","",6-Y4)</f>
        <v>3</v>
      </c>
      <c r="AL4" s="11" t="n">
        <f aca="false">IF(COUNT(H4:O4)=8,SUM(H4:O4),"")</f>
        <v>33</v>
      </c>
      <c r="AM4" s="11" t="n">
        <f aca="false">IF(COUNT(P4:U4,AH4:AK4)=10,SUM(P4:U4,AH4:AK4),"")</f>
        <v>33</v>
      </c>
      <c r="AN4" s="11" t="n">
        <f aca="false">IF(COUNT(Z4:AG4)=8,SUM(Z4:AG4),"")</f>
        <v>32</v>
      </c>
      <c r="AO4" s="12" t="n">
        <f aca="false">IF(AL4="","",AL4/8)</f>
        <v>4.125</v>
      </c>
      <c r="AP4" s="12" t="n">
        <f aca="false">IF(AM4="","",AM4/10)</f>
        <v>3.3</v>
      </c>
      <c r="AQ4" s="12" t="n">
        <f aca="false">IF(AN4="","",AN4/8)</f>
        <v>4</v>
      </c>
      <c r="AR4" s="11" t="n">
        <f aca="false">IF(A4="","",IF(OR(F4=1,G4=1,AND(E4&lt;&gt;"",E4&lt;=2)),2,IF(AND(E4&gt;=3,G4=2,OR(F4=2,F4=3)),1,"")))</f>
        <v>1</v>
      </c>
      <c r="AS4" s="11" t="str">
        <f aca="false">IF(AR4=1,"טיפוסי",IF(AR4=2,"מתקשה",""))</f>
        <v>טיפוסי</v>
      </c>
      <c r="AT4" s="12" t="n">
        <f aca="false">IF(AR4=1,AO4,"")</f>
        <v>4.125</v>
      </c>
      <c r="AU4" s="12" t="str">
        <f aca="false">IF(AR4=2,AO4,"")</f>
        <v/>
      </c>
      <c r="AV4" s="12" t="n">
        <f aca="false">IF(AR4=1,AP4,"")</f>
        <v>3.3</v>
      </c>
      <c r="AW4" s="12" t="str">
        <f aca="false">IF(AR4=2,AP4,"")</f>
        <v/>
      </c>
      <c r="AX4" s="12" t="n">
        <f aca="false">IF(AR4=1,AQ4,"")</f>
        <v>4</v>
      </c>
      <c r="AY4" s="12" t="str">
        <f aca="false">IF(AR4=2,AQ4,"")</f>
        <v/>
      </c>
    </row>
    <row r="5" customFormat="false" ht="15" hidden="false" customHeight="true" outlineLevel="0" collapsed="false">
      <c r="A5" s="10" t="n">
        <v>3</v>
      </c>
      <c r="B5" s="10" t="n">
        <v>2</v>
      </c>
      <c r="C5" s="10" t="n">
        <v>1</v>
      </c>
      <c r="D5" s="10" t="n">
        <v>13</v>
      </c>
      <c r="E5" s="10" t="n">
        <v>3</v>
      </c>
      <c r="F5" s="10" t="n">
        <v>2</v>
      </c>
      <c r="G5" s="10" t="n">
        <v>2</v>
      </c>
      <c r="H5" s="10" t="n">
        <v>3</v>
      </c>
      <c r="I5" s="10" t="n">
        <v>4</v>
      </c>
      <c r="J5" s="10" t="n">
        <v>4</v>
      </c>
      <c r="K5" s="10" t="n">
        <v>3</v>
      </c>
      <c r="L5" s="10" t="n">
        <v>3</v>
      </c>
      <c r="M5" s="10" t="n">
        <v>5</v>
      </c>
      <c r="N5" s="10" t="n">
        <v>2</v>
      </c>
      <c r="O5" s="10" t="n">
        <v>4</v>
      </c>
      <c r="P5" s="10" t="n">
        <v>3</v>
      </c>
      <c r="Q5" s="10" t="n">
        <v>2</v>
      </c>
      <c r="R5" s="10" t="n">
        <v>2</v>
      </c>
      <c r="S5" s="10" t="n">
        <v>3</v>
      </c>
      <c r="T5" s="10" t="n">
        <v>3</v>
      </c>
      <c r="U5" s="10" t="n">
        <v>3</v>
      </c>
      <c r="V5" s="10" t="n">
        <v>3</v>
      </c>
      <c r="W5" s="10" t="n">
        <v>5</v>
      </c>
      <c r="X5" s="10" t="n">
        <v>3</v>
      </c>
      <c r="Y5" s="10" t="n">
        <v>2</v>
      </c>
      <c r="Z5" s="10" t="n">
        <v>3</v>
      </c>
      <c r="AA5" s="10" t="n">
        <v>4</v>
      </c>
      <c r="AB5" s="10" t="n">
        <v>4</v>
      </c>
      <c r="AC5" s="10" t="n">
        <v>5</v>
      </c>
      <c r="AD5" s="10" t="n">
        <v>3</v>
      </c>
      <c r="AE5" s="10" t="n">
        <v>4</v>
      </c>
      <c r="AF5" s="10" t="n">
        <v>5</v>
      </c>
      <c r="AG5" s="10" t="n">
        <v>3</v>
      </c>
      <c r="AH5" s="11" t="n">
        <f aca="false">IF(V5="","",6-V5)</f>
        <v>3</v>
      </c>
      <c r="AI5" s="11" t="n">
        <f aca="false">IF(W5="","",6-W5)</f>
        <v>1</v>
      </c>
      <c r="AJ5" s="11" t="n">
        <f aca="false">IF(X5="","",6-X5)</f>
        <v>3</v>
      </c>
      <c r="AK5" s="11" t="n">
        <f aca="false">IF(Y5="","",6-Y5)</f>
        <v>4</v>
      </c>
      <c r="AL5" s="11" t="n">
        <f aca="false">IF(COUNT(H5:O5)=8,SUM(H5:O5),"")</f>
        <v>28</v>
      </c>
      <c r="AM5" s="11" t="n">
        <f aca="false">IF(COUNT(P5:U5,AH5:AK5)=10,SUM(P5:U5,AH5:AK5),"")</f>
        <v>27</v>
      </c>
      <c r="AN5" s="11" t="n">
        <f aca="false">IF(COUNT(Z5:AG5)=8,SUM(Z5:AG5),"")</f>
        <v>31</v>
      </c>
      <c r="AO5" s="12" t="n">
        <f aca="false">IF(AL5="","",AL5/8)</f>
        <v>3.5</v>
      </c>
      <c r="AP5" s="12" t="n">
        <f aca="false">IF(AM5="","",AM5/10)</f>
        <v>2.7</v>
      </c>
      <c r="AQ5" s="12" t="n">
        <f aca="false">IF(AN5="","",AN5/8)</f>
        <v>3.875</v>
      </c>
      <c r="AR5" s="11" t="n">
        <f aca="false">IF(A5="","",IF(OR(F5=1,G5=1,AND(E5&lt;&gt;"",E5&lt;=2)),2,IF(AND(E5&gt;=3,G5=2,OR(F5=2,F5=3)),1,"")))</f>
        <v>1</v>
      </c>
      <c r="AS5" s="11" t="str">
        <f aca="false">IF(AR5=1,"טיפוסי",IF(AR5=2,"מתקשה",""))</f>
        <v>טיפוסי</v>
      </c>
      <c r="AT5" s="12" t="n">
        <f aca="false">IF(AR5=1,AO5,"")</f>
        <v>3.5</v>
      </c>
      <c r="AU5" s="12" t="str">
        <f aca="false">IF(AR5=2,AO5,"")</f>
        <v/>
      </c>
      <c r="AV5" s="12" t="n">
        <f aca="false">IF(AR5=1,AP5,"")</f>
        <v>2.7</v>
      </c>
      <c r="AW5" s="12" t="str">
        <f aca="false">IF(AR5=2,AP5,"")</f>
        <v/>
      </c>
      <c r="AX5" s="12" t="n">
        <f aca="false">IF(AR5=1,AQ5,"")</f>
        <v>3.875</v>
      </c>
      <c r="AY5" s="12" t="str">
        <f aca="false">IF(AR5=2,AQ5,"")</f>
        <v/>
      </c>
    </row>
    <row r="6" customFormat="false" ht="15" hidden="false" customHeight="true" outlineLevel="0" collapsed="false">
      <c r="A6" s="10" t="n">
        <v>4</v>
      </c>
      <c r="B6" s="10" t="n">
        <v>2</v>
      </c>
      <c r="C6" s="10" t="n">
        <v>1</v>
      </c>
      <c r="D6" s="10" t="n">
        <v>12</v>
      </c>
      <c r="E6" s="10" t="n">
        <v>1</v>
      </c>
      <c r="F6" s="10" t="n">
        <v>1</v>
      </c>
      <c r="G6" s="10" t="n">
        <v>1</v>
      </c>
      <c r="H6" s="10" t="n">
        <v>2</v>
      </c>
      <c r="I6" s="10" t="n">
        <v>2</v>
      </c>
      <c r="J6" s="10" t="n">
        <v>4</v>
      </c>
      <c r="K6" s="10" t="n">
        <v>3</v>
      </c>
      <c r="L6" s="10" t="n">
        <v>1</v>
      </c>
      <c r="M6" s="10" t="n">
        <v>4</v>
      </c>
      <c r="N6" s="10" t="n">
        <v>2</v>
      </c>
      <c r="O6" s="10" t="n">
        <v>2</v>
      </c>
      <c r="P6" s="10" t="n">
        <v>1</v>
      </c>
      <c r="Q6" s="10" t="n">
        <v>2</v>
      </c>
      <c r="R6" s="10" t="n">
        <v>3</v>
      </c>
      <c r="S6" s="10" t="n">
        <v>3</v>
      </c>
      <c r="T6" s="10" t="n">
        <v>2</v>
      </c>
      <c r="U6" s="10" t="n">
        <v>2</v>
      </c>
      <c r="V6" s="10" t="n">
        <v>5</v>
      </c>
      <c r="W6" s="10" t="n">
        <v>3</v>
      </c>
      <c r="X6" s="10" t="n">
        <v>5</v>
      </c>
      <c r="Y6" s="10" t="n">
        <v>4</v>
      </c>
      <c r="Z6" s="10" t="n">
        <v>4</v>
      </c>
      <c r="AA6" s="10" t="n">
        <v>2</v>
      </c>
      <c r="AB6" s="10" t="n">
        <v>3</v>
      </c>
      <c r="AC6" s="10" t="n">
        <v>4</v>
      </c>
      <c r="AD6" s="10" t="n">
        <v>3</v>
      </c>
      <c r="AE6" s="10" t="n">
        <v>4</v>
      </c>
      <c r="AF6" s="10" t="n">
        <v>3</v>
      </c>
      <c r="AG6" s="10" t="n">
        <v>4</v>
      </c>
      <c r="AH6" s="11" t="n">
        <f aca="false">IF(V6="","",6-V6)</f>
        <v>1</v>
      </c>
      <c r="AI6" s="11" t="n">
        <f aca="false">IF(W6="","",6-W6)</f>
        <v>3</v>
      </c>
      <c r="AJ6" s="11" t="n">
        <f aca="false">IF(X6="","",6-X6)</f>
        <v>1</v>
      </c>
      <c r="AK6" s="11" t="n">
        <f aca="false">IF(Y6="","",6-Y6)</f>
        <v>2</v>
      </c>
      <c r="AL6" s="11" t="n">
        <f aca="false">IF(COUNT(H6:O6)=8,SUM(H6:O6),"")</f>
        <v>20</v>
      </c>
      <c r="AM6" s="11" t="n">
        <f aca="false">IF(COUNT(P6:U6,AH6:AK6)=10,SUM(P6:U6,AH6:AK6),"")</f>
        <v>20</v>
      </c>
      <c r="AN6" s="11" t="n">
        <f aca="false">IF(COUNT(Z6:AG6)=8,SUM(Z6:AG6),"")</f>
        <v>27</v>
      </c>
      <c r="AO6" s="12" t="n">
        <f aca="false">IF(AL6="","",AL6/8)</f>
        <v>2.5</v>
      </c>
      <c r="AP6" s="12" t="n">
        <f aca="false">IF(AM6="","",AM6/10)</f>
        <v>2</v>
      </c>
      <c r="AQ6" s="12" t="n">
        <f aca="false">IF(AN6="","",AN6/8)</f>
        <v>3.375</v>
      </c>
      <c r="AR6" s="11" t="n">
        <f aca="false">IF(A6="","",IF(OR(F6=1,G6=1,AND(E6&lt;&gt;"",E6&lt;=2)),2,IF(AND(E6&gt;=3,G6=2,OR(F6=2,F6=3)),1,"")))</f>
        <v>2</v>
      </c>
      <c r="AS6" s="11" t="str">
        <f aca="false">IF(AR6=1,"טיפוסי",IF(AR6=2,"מתקשה",""))</f>
        <v>מתקשה</v>
      </c>
      <c r="AT6" s="12" t="str">
        <f aca="false">IF(AR6=1,AO6,"")</f>
        <v/>
      </c>
      <c r="AU6" s="12" t="n">
        <f aca="false">IF(AR6=2,AO6,"")</f>
        <v>2.5</v>
      </c>
      <c r="AV6" s="12" t="str">
        <f aca="false">IF(AR6=1,AP6,"")</f>
        <v/>
      </c>
      <c r="AW6" s="12" t="n">
        <f aca="false">IF(AR6=2,AP6,"")</f>
        <v>2</v>
      </c>
      <c r="AX6" s="12" t="str">
        <f aca="false">IF(AR6=1,AQ6,"")</f>
        <v/>
      </c>
      <c r="AY6" s="12" t="n">
        <f aca="false">IF(AR6=2,AQ6,"")</f>
        <v>3.375</v>
      </c>
    </row>
    <row r="7" customFormat="false" ht="15" hidden="false" customHeight="true" outlineLevel="0" collapsed="false">
      <c r="A7" s="10" t="n">
        <v>5</v>
      </c>
      <c r="B7" s="10" t="n">
        <v>1</v>
      </c>
      <c r="C7" s="10" t="n">
        <v>1</v>
      </c>
      <c r="D7" s="10" t="n">
        <v>12</v>
      </c>
      <c r="E7" s="10" t="n">
        <v>3</v>
      </c>
      <c r="F7" s="10" t="n">
        <v>2</v>
      </c>
      <c r="G7" s="10" t="n">
        <v>2</v>
      </c>
      <c r="H7" s="10" t="n">
        <v>5</v>
      </c>
      <c r="I7" s="10" t="n">
        <v>5</v>
      </c>
      <c r="J7" s="10" t="n">
        <v>5</v>
      </c>
      <c r="K7" s="10" t="n">
        <v>5</v>
      </c>
      <c r="L7" s="10" t="n">
        <v>5</v>
      </c>
      <c r="M7" s="10" t="n">
        <v>5</v>
      </c>
      <c r="N7" s="10" t="n">
        <v>5</v>
      </c>
      <c r="O7" s="10" t="n">
        <v>5</v>
      </c>
      <c r="P7" s="10" t="n">
        <v>2</v>
      </c>
      <c r="Q7" s="10" t="n">
        <v>2</v>
      </c>
      <c r="R7" s="10" t="n">
        <v>1</v>
      </c>
      <c r="S7" s="10" t="n">
        <v>2</v>
      </c>
      <c r="T7" s="10" t="n">
        <v>4</v>
      </c>
      <c r="U7" s="10" t="n">
        <v>3</v>
      </c>
      <c r="V7" s="10" t="n">
        <v>4</v>
      </c>
      <c r="W7" s="10" t="n">
        <v>5</v>
      </c>
      <c r="X7" s="10" t="n">
        <v>3</v>
      </c>
      <c r="Y7" s="10" t="n">
        <v>3</v>
      </c>
      <c r="Z7" s="10" t="n">
        <v>5</v>
      </c>
      <c r="AA7" s="10" t="n">
        <v>4</v>
      </c>
      <c r="AB7" s="10" t="n">
        <v>5</v>
      </c>
      <c r="AC7" s="10" t="n">
        <v>3</v>
      </c>
      <c r="AD7" s="10" t="n">
        <v>4</v>
      </c>
      <c r="AE7" s="10" t="n">
        <v>4</v>
      </c>
      <c r="AF7" s="10" t="n">
        <v>4</v>
      </c>
      <c r="AG7" s="10" t="n">
        <v>4</v>
      </c>
      <c r="AH7" s="11" t="n">
        <f aca="false">IF(V7="","",6-V7)</f>
        <v>2</v>
      </c>
      <c r="AI7" s="11" t="n">
        <f aca="false">IF(W7="","",6-W7)</f>
        <v>1</v>
      </c>
      <c r="AJ7" s="11" t="n">
        <f aca="false">IF(X7="","",6-X7)</f>
        <v>3</v>
      </c>
      <c r="AK7" s="11" t="n">
        <f aca="false">IF(Y7="","",6-Y7)</f>
        <v>3</v>
      </c>
      <c r="AL7" s="11" t="n">
        <f aca="false">IF(COUNT(H7:O7)=8,SUM(H7:O7),"")</f>
        <v>40</v>
      </c>
      <c r="AM7" s="11" t="n">
        <f aca="false">IF(COUNT(P7:U7,AH7:AK7)=10,SUM(P7:U7,AH7:AK7),"")</f>
        <v>23</v>
      </c>
      <c r="AN7" s="11" t="n">
        <f aca="false">IF(COUNT(Z7:AG7)=8,SUM(Z7:AG7),"")</f>
        <v>33</v>
      </c>
      <c r="AO7" s="12" t="n">
        <f aca="false">IF(AL7="","",AL7/8)</f>
        <v>5</v>
      </c>
      <c r="AP7" s="12" t="n">
        <f aca="false">IF(AM7="","",AM7/10)</f>
        <v>2.3</v>
      </c>
      <c r="AQ7" s="12" t="n">
        <f aca="false">IF(AN7="","",AN7/8)</f>
        <v>4.125</v>
      </c>
      <c r="AR7" s="11" t="n">
        <f aca="false">IF(A7="","",IF(OR(F7=1,G7=1,AND(E7&lt;&gt;"",E7&lt;=2)),2,IF(AND(E7&gt;=3,G7=2,OR(F7=2,F7=3)),1,"")))</f>
        <v>1</v>
      </c>
      <c r="AS7" s="11" t="str">
        <f aca="false">IF(AR7=1,"טיפוסי",IF(AR7=2,"מתקשה",""))</f>
        <v>טיפוסי</v>
      </c>
      <c r="AT7" s="12" t="n">
        <f aca="false">IF(AR7=1,AO7,"")</f>
        <v>5</v>
      </c>
      <c r="AU7" s="12" t="str">
        <f aca="false">IF(AR7=2,AO7,"")</f>
        <v/>
      </c>
      <c r="AV7" s="12" t="n">
        <f aca="false">IF(AR7=1,AP7,"")</f>
        <v>2.3</v>
      </c>
      <c r="AW7" s="12" t="str">
        <f aca="false">IF(AR7=2,AP7,"")</f>
        <v/>
      </c>
      <c r="AX7" s="12" t="n">
        <f aca="false">IF(AR7=1,AQ7,"")</f>
        <v>4.125</v>
      </c>
      <c r="AY7" s="12" t="str">
        <f aca="false">IF(AR7=2,AQ7,"")</f>
        <v/>
      </c>
    </row>
    <row r="8" customFormat="false" ht="15" hidden="false" customHeight="true" outlineLevel="0" collapsed="false">
      <c r="A8" s="10" t="n">
        <v>6</v>
      </c>
      <c r="B8" s="10" t="n">
        <v>2</v>
      </c>
      <c r="C8" s="10" t="n">
        <v>1</v>
      </c>
      <c r="D8" s="10" t="n">
        <v>13</v>
      </c>
      <c r="E8" s="10" t="n">
        <v>3</v>
      </c>
      <c r="F8" s="10" t="n">
        <v>2</v>
      </c>
      <c r="G8" s="10" t="n">
        <v>2</v>
      </c>
      <c r="H8" s="10" t="n">
        <v>3</v>
      </c>
      <c r="I8" s="10" t="n">
        <v>2</v>
      </c>
      <c r="J8" s="10" t="n">
        <v>2</v>
      </c>
      <c r="K8" s="10" t="n">
        <v>2</v>
      </c>
      <c r="L8" s="10" t="n">
        <v>5</v>
      </c>
      <c r="M8" s="10" t="n">
        <v>4</v>
      </c>
      <c r="N8" s="10" t="n">
        <v>4</v>
      </c>
      <c r="O8" s="10" t="n">
        <v>4</v>
      </c>
      <c r="P8" s="10" t="n">
        <v>5</v>
      </c>
      <c r="Q8" s="10" t="n">
        <v>5</v>
      </c>
      <c r="R8" s="10" t="n">
        <v>5</v>
      </c>
      <c r="S8" s="10" t="n">
        <v>5</v>
      </c>
      <c r="T8" s="10" t="n">
        <v>4</v>
      </c>
      <c r="U8" s="10" t="n">
        <v>4</v>
      </c>
      <c r="V8" s="10" t="n">
        <v>2</v>
      </c>
      <c r="W8" s="10" t="n">
        <v>2</v>
      </c>
      <c r="X8" s="10" t="n">
        <v>3</v>
      </c>
      <c r="Y8" s="10" t="n">
        <v>1</v>
      </c>
      <c r="Z8" s="10" t="n">
        <v>3</v>
      </c>
      <c r="AA8" s="10" t="n">
        <v>4</v>
      </c>
      <c r="AB8" s="10" t="n">
        <v>3</v>
      </c>
      <c r="AC8" s="10" t="n">
        <v>5</v>
      </c>
      <c r="AD8" s="10" t="n">
        <v>4</v>
      </c>
      <c r="AE8" s="10" t="n">
        <v>5</v>
      </c>
      <c r="AF8" s="10" t="n">
        <v>3</v>
      </c>
      <c r="AG8" s="10" t="n">
        <v>5</v>
      </c>
      <c r="AH8" s="11" t="n">
        <f aca="false">IF(V8="","",6-V8)</f>
        <v>4</v>
      </c>
      <c r="AI8" s="11" t="n">
        <f aca="false">IF(W8="","",6-W8)</f>
        <v>4</v>
      </c>
      <c r="AJ8" s="11" t="n">
        <f aca="false">IF(X8="","",6-X8)</f>
        <v>3</v>
      </c>
      <c r="AK8" s="11" t="n">
        <f aca="false">IF(Y8="","",6-Y8)</f>
        <v>5</v>
      </c>
      <c r="AL8" s="11" t="n">
        <f aca="false">IF(COUNT(H8:O8)=8,SUM(H8:O8),"")</f>
        <v>26</v>
      </c>
      <c r="AM8" s="11" t="n">
        <f aca="false">IF(COUNT(P8:U8,AH8:AK8)=10,SUM(P8:U8,AH8:AK8),"")</f>
        <v>44</v>
      </c>
      <c r="AN8" s="11" t="n">
        <f aca="false">IF(COUNT(Z8:AG8)=8,SUM(Z8:AG8),"")</f>
        <v>32</v>
      </c>
      <c r="AO8" s="12" t="n">
        <f aca="false">IF(AL8="","",AL8/8)</f>
        <v>3.25</v>
      </c>
      <c r="AP8" s="12" t="n">
        <f aca="false">IF(AM8="","",AM8/10)</f>
        <v>4.4</v>
      </c>
      <c r="AQ8" s="12" t="n">
        <f aca="false">IF(AN8="","",AN8/8)</f>
        <v>4</v>
      </c>
      <c r="AR8" s="11" t="n">
        <f aca="false">IF(A8="","",IF(OR(F8=1,G8=1,AND(E8&lt;&gt;"",E8&lt;=2)),2,IF(AND(E8&gt;=3,G8=2,OR(F8=2,F8=3)),1,"")))</f>
        <v>1</v>
      </c>
      <c r="AS8" s="11" t="str">
        <f aca="false">IF(AR8=1,"טיפוסי",IF(AR8=2,"מתקשה",""))</f>
        <v>טיפוסי</v>
      </c>
      <c r="AT8" s="12" t="n">
        <f aca="false">IF(AR8=1,AO8,"")</f>
        <v>3.25</v>
      </c>
      <c r="AU8" s="12" t="str">
        <f aca="false">IF(AR8=2,AO8,"")</f>
        <v/>
      </c>
      <c r="AV8" s="12" t="n">
        <f aca="false">IF(AR8=1,AP8,"")</f>
        <v>4.4</v>
      </c>
      <c r="AW8" s="12" t="str">
        <f aca="false">IF(AR8=2,AP8,"")</f>
        <v/>
      </c>
      <c r="AX8" s="12" t="n">
        <f aca="false">IF(AR8=1,AQ8,"")</f>
        <v>4</v>
      </c>
      <c r="AY8" s="12" t="str">
        <f aca="false">IF(AR8=2,AQ8,"")</f>
        <v/>
      </c>
    </row>
    <row r="9" customFormat="false" ht="15" hidden="false" customHeight="true" outlineLevel="0" collapsed="false">
      <c r="A9" s="10" t="n">
        <v>7</v>
      </c>
      <c r="B9" s="10" t="n">
        <v>2</v>
      </c>
      <c r="C9" s="10" t="n">
        <v>2</v>
      </c>
      <c r="D9" s="10" t="n">
        <v>13</v>
      </c>
      <c r="E9" s="10" t="n">
        <v>1</v>
      </c>
      <c r="F9" s="10" t="n">
        <v>1</v>
      </c>
      <c r="G9" s="10" t="n">
        <v>2</v>
      </c>
      <c r="H9" s="10" t="n">
        <v>3</v>
      </c>
      <c r="I9" s="10" t="n">
        <v>3</v>
      </c>
      <c r="J9" s="10" t="n">
        <v>2</v>
      </c>
      <c r="K9" s="10" t="n">
        <v>4</v>
      </c>
      <c r="L9" s="10" t="n">
        <v>3</v>
      </c>
      <c r="M9" s="10" t="n">
        <v>4</v>
      </c>
      <c r="N9" s="10" t="n">
        <v>3</v>
      </c>
      <c r="O9" s="10" t="n">
        <v>4</v>
      </c>
      <c r="P9" s="10" t="n">
        <v>4</v>
      </c>
      <c r="Q9" s="10" t="n">
        <v>3</v>
      </c>
      <c r="R9" s="10" t="n">
        <v>2</v>
      </c>
      <c r="S9" s="10" t="n">
        <v>5</v>
      </c>
      <c r="T9" s="10" t="n">
        <v>4</v>
      </c>
      <c r="U9" s="10" t="n">
        <v>1</v>
      </c>
      <c r="V9" s="10" t="n">
        <v>3</v>
      </c>
      <c r="W9" s="10" t="n">
        <v>3</v>
      </c>
      <c r="X9" s="10" t="n">
        <v>4</v>
      </c>
      <c r="Y9" s="10" t="n">
        <v>3</v>
      </c>
      <c r="Z9" s="10" t="n">
        <v>2</v>
      </c>
      <c r="AA9" s="10" t="n">
        <v>3</v>
      </c>
      <c r="AB9" s="10" t="n">
        <v>3</v>
      </c>
      <c r="AC9" s="10" t="n">
        <v>4</v>
      </c>
      <c r="AD9" s="10" t="n">
        <v>4</v>
      </c>
      <c r="AE9" s="10" t="n">
        <v>2</v>
      </c>
      <c r="AF9" s="10" t="n">
        <v>1</v>
      </c>
      <c r="AG9" s="10" t="n">
        <v>2</v>
      </c>
      <c r="AH9" s="11" t="n">
        <f aca="false">IF(V9="","",6-V9)</f>
        <v>3</v>
      </c>
      <c r="AI9" s="11" t="n">
        <f aca="false">IF(W9="","",6-W9)</f>
        <v>3</v>
      </c>
      <c r="AJ9" s="11" t="n">
        <f aca="false">IF(X9="","",6-X9)</f>
        <v>2</v>
      </c>
      <c r="AK9" s="11" t="n">
        <f aca="false">IF(Y9="","",6-Y9)</f>
        <v>3</v>
      </c>
      <c r="AL9" s="11" t="n">
        <f aca="false">IF(COUNT(H9:O9)=8,SUM(H9:O9),"")</f>
        <v>26</v>
      </c>
      <c r="AM9" s="11" t="n">
        <f aca="false">IF(COUNT(P9:U9,AH9:AK9)=10,SUM(P9:U9,AH9:AK9),"")</f>
        <v>30</v>
      </c>
      <c r="AN9" s="11" t="n">
        <f aca="false">IF(COUNT(Z9:AG9)=8,SUM(Z9:AG9),"")</f>
        <v>21</v>
      </c>
      <c r="AO9" s="12" t="n">
        <f aca="false">IF(AL9="","",AL9/8)</f>
        <v>3.25</v>
      </c>
      <c r="AP9" s="12" t="n">
        <f aca="false">IF(AM9="","",AM9/10)</f>
        <v>3</v>
      </c>
      <c r="AQ9" s="12" t="n">
        <f aca="false">IF(AN9="","",AN9/8)</f>
        <v>2.625</v>
      </c>
      <c r="AR9" s="11" t="n">
        <f aca="false">IF(A9="","",IF(OR(F9=1,G9=1,AND(E9&lt;&gt;"",E9&lt;=2)),2,IF(AND(E9&gt;=3,G9=2,OR(F9=2,F9=3)),1,"")))</f>
        <v>2</v>
      </c>
      <c r="AS9" s="11" t="str">
        <f aca="false">IF(AR9=1,"טיפוסי",IF(AR9=2,"מתקשה",""))</f>
        <v>מתקשה</v>
      </c>
      <c r="AT9" s="12" t="str">
        <f aca="false">IF(AR9=1,AO9,"")</f>
        <v/>
      </c>
      <c r="AU9" s="12" t="n">
        <f aca="false">IF(AR9=2,AO9,"")</f>
        <v>3.25</v>
      </c>
      <c r="AV9" s="12" t="str">
        <f aca="false">IF(AR9=1,AP9,"")</f>
        <v/>
      </c>
      <c r="AW9" s="12" t="n">
        <f aca="false">IF(AR9=2,AP9,"")</f>
        <v>3</v>
      </c>
      <c r="AX9" s="12" t="str">
        <f aca="false">IF(AR9=1,AQ9,"")</f>
        <v/>
      </c>
      <c r="AY9" s="12" t="n">
        <f aca="false">IF(AR9=2,AQ9,"")</f>
        <v>2.625</v>
      </c>
    </row>
    <row r="10" customFormat="false" ht="15" hidden="false" customHeight="true" outlineLevel="0" collapsed="false">
      <c r="A10" s="10" t="n">
        <v>8</v>
      </c>
      <c r="B10" s="10" t="n">
        <v>2</v>
      </c>
      <c r="C10" s="10" t="n">
        <v>1</v>
      </c>
      <c r="D10" s="10" t="n">
        <v>13</v>
      </c>
      <c r="E10" s="10" t="n">
        <v>3</v>
      </c>
      <c r="F10" s="10" t="n">
        <v>2</v>
      </c>
      <c r="G10" s="10" t="n">
        <v>2</v>
      </c>
      <c r="H10" s="10" t="n">
        <v>3</v>
      </c>
      <c r="I10" s="10" t="n">
        <v>3</v>
      </c>
      <c r="J10" s="10" t="n">
        <v>3</v>
      </c>
      <c r="K10" s="10" t="n">
        <v>3</v>
      </c>
      <c r="L10" s="10" t="n">
        <v>4</v>
      </c>
      <c r="M10" s="10" t="n">
        <v>4</v>
      </c>
      <c r="N10" s="10" t="n">
        <v>4</v>
      </c>
      <c r="O10" s="10" t="n">
        <v>3</v>
      </c>
      <c r="P10" s="10" t="n">
        <v>2</v>
      </c>
      <c r="Q10" s="10" t="n">
        <v>3</v>
      </c>
      <c r="R10" s="10" t="n">
        <v>2</v>
      </c>
      <c r="S10" s="10" t="n">
        <v>2</v>
      </c>
      <c r="T10" s="10" t="n">
        <v>4</v>
      </c>
      <c r="U10" s="10" t="n">
        <v>1</v>
      </c>
      <c r="V10" s="10" t="n">
        <v>4</v>
      </c>
      <c r="W10" s="10" t="n">
        <v>4</v>
      </c>
      <c r="X10" s="10" t="n">
        <v>3</v>
      </c>
      <c r="Y10" s="10" t="n">
        <v>4</v>
      </c>
      <c r="Z10" s="10"/>
      <c r="AA10" s="10" t="n">
        <v>4</v>
      </c>
      <c r="AB10" s="10" t="n">
        <v>5</v>
      </c>
      <c r="AC10" s="10" t="n">
        <v>4</v>
      </c>
      <c r="AD10" s="10" t="n">
        <v>4</v>
      </c>
      <c r="AE10" s="10" t="n">
        <v>5</v>
      </c>
      <c r="AF10" s="10" t="n">
        <v>4</v>
      </c>
      <c r="AG10" s="10" t="n">
        <v>4</v>
      </c>
      <c r="AH10" s="11" t="n">
        <f aca="false">IF(V10="","",6-V10)</f>
        <v>2</v>
      </c>
      <c r="AI10" s="11" t="n">
        <f aca="false">IF(W10="","",6-W10)</f>
        <v>2</v>
      </c>
      <c r="AJ10" s="11" t="n">
        <f aca="false">IF(X10="","",6-X10)</f>
        <v>3</v>
      </c>
      <c r="AK10" s="11" t="n">
        <f aca="false">IF(Y10="","",6-Y10)</f>
        <v>2</v>
      </c>
      <c r="AL10" s="11" t="n">
        <f aca="false">IF(COUNT(H10:O10)=8,SUM(H10:O10),"")</f>
        <v>27</v>
      </c>
      <c r="AM10" s="11" t="n">
        <f aca="false">IF(COUNT(P10:U10,AH10:AK10)=10,SUM(P10:U10,AH10:AK10),"")</f>
        <v>23</v>
      </c>
      <c r="AN10" s="11" t="str">
        <f aca="false">IF(COUNT(Z10:AG10)=8,SUM(Z10:AG10),"")</f>
        <v/>
      </c>
      <c r="AO10" s="12" t="n">
        <f aca="false">IF(AL10="","",AL10/8)</f>
        <v>3.375</v>
      </c>
      <c r="AP10" s="12" t="n">
        <f aca="false">IF(AM10="","",AM10/10)</f>
        <v>2.3</v>
      </c>
      <c r="AQ10" s="12" t="str">
        <f aca="false">IF(AN10="","",AN10/8)</f>
        <v/>
      </c>
      <c r="AR10" s="11" t="n">
        <f aca="false">IF(A10="","",IF(OR(F10=1,G10=1,AND(E10&lt;&gt;"",E10&lt;=2)),2,IF(AND(E10&gt;=3,G10=2,OR(F10=2,F10=3)),1,"")))</f>
        <v>1</v>
      </c>
      <c r="AS10" s="11" t="str">
        <f aca="false">IF(AR10=1,"טיפוסי",IF(AR10=2,"מתקשה",""))</f>
        <v>טיפוסי</v>
      </c>
      <c r="AT10" s="12" t="n">
        <f aca="false">IF(AR10=1,AO10,"")</f>
        <v>3.375</v>
      </c>
      <c r="AU10" s="12" t="str">
        <f aca="false">IF(AR10=2,AO10,"")</f>
        <v/>
      </c>
      <c r="AV10" s="12" t="n">
        <f aca="false">IF(AR10=1,AP10,"")</f>
        <v>2.3</v>
      </c>
      <c r="AW10" s="12" t="str">
        <f aca="false">IF(AR10=2,AP10,"")</f>
        <v/>
      </c>
      <c r="AX10" s="12" t="str">
        <f aca="false">IF(AR10=1,AQ10,"")</f>
        <v/>
      </c>
      <c r="AY10" s="12" t="str">
        <f aca="false">IF(AR10=2,AQ10,"")</f>
        <v/>
      </c>
    </row>
    <row r="11" customFormat="false" ht="15" hidden="false" customHeight="true" outlineLevel="0" collapsed="false">
      <c r="A11" s="10" t="n">
        <v>9</v>
      </c>
      <c r="B11" s="10" t="n">
        <v>2</v>
      </c>
      <c r="C11" s="10" t="n">
        <v>3</v>
      </c>
      <c r="D11" s="10" t="n">
        <v>15</v>
      </c>
      <c r="E11" s="10" t="n">
        <v>2</v>
      </c>
      <c r="F11" s="10" t="n">
        <v>3</v>
      </c>
      <c r="G11" s="10" t="n">
        <v>2</v>
      </c>
      <c r="H11" s="10" t="n">
        <v>3</v>
      </c>
      <c r="I11" s="10" t="n">
        <v>3</v>
      </c>
      <c r="J11" s="10" t="n">
        <v>2</v>
      </c>
      <c r="K11" s="10" t="n">
        <v>4</v>
      </c>
      <c r="L11" s="10" t="n">
        <v>3</v>
      </c>
      <c r="M11" s="10" t="n">
        <v>3</v>
      </c>
      <c r="N11" s="10" t="n">
        <v>3</v>
      </c>
      <c r="O11" s="10" t="n">
        <v>4</v>
      </c>
      <c r="P11" s="10" t="n">
        <v>2</v>
      </c>
      <c r="Q11" s="10" t="n">
        <v>1</v>
      </c>
      <c r="R11" s="10"/>
      <c r="S11" s="10" t="n">
        <v>2</v>
      </c>
      <c r="T11" s="10" t="n">
        <v>2</v>
      </c>
      <c r="U11" s="10" t="n">
        <v>3</v>
      </c>
      <c r="V11" s="10" t="n">
        <v>3</v>
      </c>
      <c r="W11" s="10" t="n">
        <v>3</v>
      </c>
      <c r="X11" s="10" t="n">
        <v>5</v>
      </c>
      <c r="Y11" s="10" t="n">
        <v>2</v>
      </c>
      <c r="Z11" s="10" t="n">
        <v>3</v>
      </c>
      <c r="AA11" s="10" t="n">
        <v>4</v>
      </c>
      <c r="AB11" s="10" t="n">
        <v>4</v>
      </c>
      <c r="AC11" s="10" t="n">
        <v>3</v>
      </c>
      <c r="AD11" s="10" t="n">
        <v>4</v>
      </c>
      <c r="AE11" s="10" t="n">
        <v>2</v>
      </c>
      <c r="AF11" s="10" t="n">
        <v>3</v>
      </c>
      <c r="AG11" s="10" t="n">
        <v>2</v>
      </c>
      <c r="AH11" s="11" t="n">
        <f aca="false">IF(V11="","",6-V11)</f>
        <v>3</v>
      </c>
      <c r="AI11" s="11" t="n">
        <f aca="false">IF(W11="","",6-W11)</f>
        <v>3</v>
      </c>
      <c r="AJ11" s="11" t="n">
        <f aca="false">IF(X11="","",6-X11)</f>
        <v>1</v>
      </c>
      <c r="AK11" s="11" t="n">
        <f aca="false">IF(Y11="","",6-Y11)</f>
        <v>4</v>
      </c>
      <c r="AL11" s="11" t="n">
        <f aca="false">IF(COUNT(H11:O11)=8,SUM(H11:O11),"")</f>
        <v>25</v>
      </c>
      <c r="AM11" s="11" t="str">
        <f aca="false">IF(COUNT(P11:U11,AH11:AK11)=10,SUM(P11:U11,AH11:AK11),"")</f>
        <v/>
      </c>
      <c r="AN11" s="11" t="n">
        <f aca="false">IF(COUNT(Z11:AG11)=8,SUM(Z11:AG11),"")</f>
        <v>25</v>
      </c>
      <c r="AO11" s="12" t="n">
        <f aca="false">IF(AL11="","",AL11/8)</f>
        <v>3.125</v>
      </c>
      <c r="AP11" s="12" t="str">
        <f aca="false">IF(AM11="","",AM11/10)</f>
        <v/>
      </c>
      <c r="AQ11" s="12" t="n">
        <f aca="false">IF(AN11="","",AN11/8)</f>
        <v>3.125</v>
      </c>
      <c r="AR11" s="11" t="n">
        <f aca="false">IF(A11="","",IF(OR(F11=1,G11=1,AND(E11&lt;&gt;"",E11&lt;=2)),2,IF(AND(E11&gt;=3,G11=2,OR(F11=2,F11=3)),1,"")))</f>
        <v>2</v>
      </c>
      <c r="AS11" s="11" t="str">
        <f aca="false">IF(AR11=1,"טיפוסי",IF(AR11=2,"מתקשה",""))</f>
        <v>מתקשה</v>
      </c>
      <c r="AT11" s="12" t="str">
        <f aca="false">IF(AR11=1,AO11,"")</f>
        <v/>
      </c>
      <c r="AU11" s="12" t="n">
        <f aca="false">IF(AR11=2,AO11,"")</f>
        <v>3.125</v>
      </c>
      <c r="AV11" s="12" t="str">
        <f aca="false">IF(AR11=1,AP11,"")</f>
        <v/>
      </c>
      <c r="AW11" s="12" t="str">
        <f aca="false">IF(AR11=2,AP11,"")</f>
        <v/>
      </c>
      <c r="AX11" s="12" t="str">
        <f aca="false">IF(AR11=1,AQ11,"")</f>
        <v/>
      </c>
      <c r="AY11" s="12" t="n">
        <f aca="false">IF(AR11=2,AQ11,"")</f>
        <v>3.125</v>
      </c>
    </row>
    <row r="12" customFormat="false" ht="15" hidden="false" customHeight="true" outlineLevel="0" collapsed="false">
      <c r="A12" s="10" t="n">
        <v>10</v>
      </c>
      <c r="B12" s="10" t="n">
        <v>1</v>
      </c>
      <c r="C12" s="10" t="n">
        <v>2</v>
      </c>
      <c r="D12" s="10" t="n">
        <v>13</v>
      </c>
      <c r="E12" s="10" t="n">
        <v>4</v>
      </c>
      <c r="F12" s="10" t="n">
        <v>2</v>
      </c>
      <c r="G12" s="10" t="n">
        <v>2</v>
      </c>
      <c r="H12" s="10" t="n">
        <v>4</v>
      </c>
      <c r="I12" s="10" t="n">
        <v>5</v>
      </c>
      <c r="J12" s="10" t="n">
        <v>5</v>
      </c>
      <c r="K12" s="10" t="n">
        <v>2</v>
      </c>
      <c r="L12" s="10" t="n">
        <v>5</v>
      </c>
      <c r="M12" s="10" t="n">
        <v>5</v>
      </c>
      <c r="N12" s="10" t="n">
        <v>5</v>
      </c>
      <c r="O12" s="10" t="n">
        <v>2</v>
      </c>
      <c r="P12" s="10" t="n">
        <v>3</v>
      </c>
      <c r="Q12" s="10" t="n">
        <v>5</v>
      </c>
      <c r="R12" s="10" t="n">
        <v>5</v>
      </c>
      <c r="S12" s="10" t="n">
        <v>4</v>
      </c>
      <c r="T12" s="10" t="n">
        <v>4</v>
      </c>
      <c r="U12" s="10" t="n">
        <v>4</v>
      </c>
      <c r="V12" s="10" t="n">
        <v>2</v>
      </c>
      <c r="W12" s="10" t="n">
        <v>1</v>
      </c>
      <c r="X12" s="10" t="n">
        <v>1</v>
      </c>
      <c r="Y12" s="10" t="n">
        <v>2</v>
      </c>
      <c r="Z12" s="10" t="n">
        <v>5</v>
      </c>
      <c r="AA12" s="10" t="n">
        <v>5</v>
      </c>
      <c r="AB12" s="10" t="n">
        <v>4</v>
      </c>
      <c r="AC12" s="10" t="n">
        <v>3</v>
      </c>
      <c r="AD12" s="10" t="n">
        <v>4</v>
      </c>
      <c r="AE12" s="10" t="n">
        <v>4</v>
      </c>
      <c r="AF12" s="10" t="n">
        <v>3</v>
      </c>
      <c r="AG12" s="10" t="n">
        <v>4</v>
      </c>
      <c r="AH12" s="11" t="n">
        <f aca="false">IF(V12="","",6-V12)</f>
        <v>4</v>
      </c>
      <c r="AI12" s="11" t="n">
        <f aca="false">IF(W12="","",6-W12)</f>
        <v>5</v>
      </c>
      <c r="AJ12" s="11" t="n">
        <f aca="false">IF(X12="","",6-X12)</f>
        <v>5</v>
      </c>
      <c r="AK12" s="11" t="n">
        <f aca="false">IF(Y12="","",6-Y12)</f>
        <v>4</v>
      </c>
      <c r="AL12" s="11" t="n">
        <f aca="false">IF(COUNT(H12:O12)=8,SUM(H12:O12),"")</f>
        <v>33</v>
      </c>
      <c r="AM12" s="11" t="n">
        <f aca="false">IF(COUNT(P12:U12,AH12:AK12)=10,SUM(P12:U12,AH12:AK12),"")</f>
        <v>43</v>
      </c>
      <c r="AN12" s="11" t="n">
        <f aca="false">IF(COUNT(Z12:AG12)=8,SUM(Z12:AG12),"")</f>
        <v>32</v>
      </c>
      <c r="AO12" s="12" t="n">
        <f aca="false">IF(AL12="","",AL12/8)</f>
        <v>4.125</v>
      </c>
      <c r="AP12" s="12" t="n">
        <f aca="false">IF(AM12="","",AM12/10)</f>
        <v>4.3</v>
      </c>
      <c r="AQ12" s="12" t="n">
        <f aca="false">IF(AN12="","",AN12/8)</f>
        <v>4</v>
      </c>
      <c r="AR12" s="11" t="n">
        <f aca="false">IF(A12="","",IF(OR(F12=1,G12=1,AND(E12&lt;&gt;"",E12&lt;=2)),2,IF(AND(E12&gt;=3,G12=2,OR(F12=2,F12=3)),1,"")))</f>
        <v>1</v>
      </c>
      <c r="AS12" s="11" t="str">
        <f aca="false">IF(AR12=1,"טיפוסי",IF(AR12=2,"מתקשה",""))</f>
        <v>טיפוסי</v>
      </c>
      <c r="AT12" s="12" t="n">
        <f aca="false">IF(AR12=1,AO12,"")</f>
        <v>4.125</v>
      </c>
      <c r="AU12" s="12" t="str">
        <f aca="false">IF(AR12=2,AO12,"")</f>
        <v/>
      </c>
      <c r="AV12" s="12" t="n">
        <f aca="false">IF(AR12=1,AP12,"")</f>
        <v>4.3</v>
      </c>
      <c r="AW12" s="12" t="str">
        <f aca="false">IF(AR12=2,AP12,"")</f>
        <v/>
      </c>
      <c r="AX12" s="12" t="n">
        <f aca="false">IF(AR12=1,AQ12,"")</f>
        <v>4</v>
      </c>
      <c r="AY12" s="12" t="str">
        <f aca="false">IF(AR12=2,AQ12,"")</f>
        <v/>
      </c>
    </row>
    <row r="13" customFormat="false" ht="15" hidden="false" customHeight="true" outlineLevel="0" collapsed="false">
      <c r="A13" s="10" t="n">
        <v>11</v>
      </c>
      <c r="B13" s="10" t="n">
        <v>1</v>
      </c>
      <c r="C13" s="10" t="n">
        <v>2</v>
      </c>
      <c r="D13" s="10" t="n">
        <v>14</v>
      </c>
      <c r="E13" s="10" t="n">
        <v>2</v>
      </c>
      <c r="F13" s="10" t="n">
        <v>2</v>
      </c>
      <c r="G13" s="10" t="n">
        <v>2</v>
      </c>
      <c r="H13" s="10" t="n">
        <v>3</v>
      </c>
      <c r="I13" s="10" t="n">
        <v>2</v>
      </c>
      <c r="J13" s="10" t="n">
        <v>3</v>
      </c>
      <c r="K13" s="10" t="n">
        <v>2</v>
      </c>
      <c r="L13" s="10" t="n">
        <v>4</v>
      </c>
      <c r="M13" s="10" t="n">
        <v>3</v>
      </c>
      <c r="N13" s="10" t="n">
        <v>5</v>
      </c>
      <c r="O13" s="10" t="n">
        <v>2</v>
      </c>
      <c r="P13" s="10" t="n">
        <v>4</v>
      </c>
      <c r="Q13" s="10" t="n">
        <v>3</v>
      </c>
      <c r="R13" s="10" t="n">
        <v>4</v>
      </c>
      <c r="S13" s="10" t="n">
        <v>3</v>
      </c>
      <c r="T13" s="10" t="n">
        <v>3</v>
      </c>
      <c r="U13" s="10" t="n">
        <v>2</v>
      </c>
      <c r="V13" s="10" t="n">
        <v>4</v>
      </c>
      <c r="W13" s="10" t="n">
        <v>3</v>
      </c>
      <c r="X13" s="10" t="n">
        <v>4</v>
      </c>
      <c r="Y13" s="10" t="n">
        <v>2</v>
      </c>
      <c r="Z13" s="10" t="n">
        <v>3</v>
      </c>
      <c r="AA13" s="10" t="n">
        <v>5</v>
      </c>
      <c r="AB13" s="10" t="n">
        <v>4</v>
      </c>
      <c r="AC13" s="10" t="n">
        <v>5</v>
      </c>
      <c r="AD13" s="10" t="n">
        <v>4</v>
      </c>
      <c r="AE13" s="10" t="n">
        <v>4</v>
      </c>
      <c r="AF13" s="10" t="n">
        <v>5</v>
      </c>
      <c r="AG13" s="10" t="n">
        <v>3</v>
      </c>
      <c r="AH13" s="11" t="n">
        <f aca="false">IF(V13="","",6-V13)</f>
        <v>2</v>
      </c>
      <c r="AI13" s="11" t="n">
        <f aca="false">IF(W13="","",6-W13)</f>
        <v>3</v>
      </c>
      <c r="AJ13" s="11" t="n">
        <f aca="false">IF(X13="","",6-X13)</f>
        <v>2</v>
      </c>
      <c r="AK13" s="11" t="n">
        <f aca="false">IF(Y13="","",6-Y13)</f>
        <v>4</v>
      </c>
      <c r="AL13" s="11" t="n">
        <f aca="false">IF(COUNT(H13:O13)=8,SUM(H13:O13),"")</f>
        <v>24</v>
      </c>
      <c r="AM13" s="11" t="n">
        <f aca="false">IF(COUNT(P13:U13,AH13:AK13)=10,SUM(P13:U13,AH13:AK13),"")</f>
        <v>30</v>
      </c>
      <c r="AN13" s="11" t="n">
        <f aca="false">IF(COUNT(Z13:AG13)=8,SUM(Z13:AG13),"")</f>
        <v>33</v>
      </c>
      <c r="AO13" s="12" t="n">
        <f aca="false">IF(AL13="","",AL13/8)</f>
        <v>3</v>
      </c>
      <c r="AP13" s="12" t="n">
        <f aca="false">IF(AM13="","",AM13/10)</f>
        <v>3</v>
      </c>
      <c r="AQ13" s="12" t="n">
        <f aca="false">IF(AN13="","",AN13/8)</f>
        <v>4.125</v>
      </c>
      <c r="AR13" s="11" t="n">
        <f aca="false">IF(A13="","",IF(OR(F13=1,G13=1,AND(E13&lt;&gt;"",E13&lt;=2)),2,IF(AND(E13&gt;=3,G13=2,OR(F13=2,F13=3)),1,"")))</f>
        <v>2</v>
      </c>
      <c r="AS13" s="11" t="str">
        <f aca="false">IF(AR13=1,"טיפוסי",IF(AR13=2,"מתקשה",""))</f>
        <v>מתקשה</v>
      </c>
      <c r="AT13" s="12" t="str">
        <f aca="false">IF(AR13=1,AO13,"")</f>
        <v/>
      </c>
      <c r="AU13" s="12" t="n">
        <f aca="false">IF(AR13=2,AO13,"")</f>
        <v>3</v>
      </c>
      <c r="AV13" s="12" t="str">
        <f aca="false">IF(AR13=1,AP13,"")</f>
        <v/>
      </c>
      <c r="AW13" s="12" t="n">
        <f aca="false">IF(AR13=2,AP13,"")</f>
        <v>3</v>
      </c>
      <c r="AX13" s="12" t="str">
        <f aca="false">IF(AR13=1,AQ13,"")</f>
        <v/>
      </c>
      <c r="AY13" s="12" t="n">
        <f aca="false">IF(AR13=2,AQ13,"")</f>
        <v>4.125</v>
      </c>
    </row>
    <row r="14" customFormat="false" ht="15" hidden="false" customHeight="true" outlineLevel="0" collapsed="false">
      <c r="A14" s="10" t="n">
        <v>12</v>
      </c>
      <c r="B14" s="10" t="n">
        <v>1</v>
      </c>
      <c r="C14" s="10" t="n">
        <v>3</v>
      </c>
      <c r="D14" s="10" t="n">
        <v>15</v>
      </c>
      <c r="E14" s="10" t="n">
        <v>3</v>
      </c>
      <c r="F14" s="10" t="n">
        <v>2</v>
      </c>
      <c r="G14" s="10" t="n">
        <v>2</v>
      </c>
      <c r="H14" s="10" t="n">
        <v>5</v>
      </c>
      <c r="I14" s="10" t="n">
        <v>3</v>
      </c>
      <c r="J14" s="10" t="n">
        <v>4</v>
      </c>
      <c r="K14" s="10" t="n">
        <v>5</v>
      </c>
      <c r="L14" s="10" t="n">
        <v>4</v>
      </c>
      <c r="M14" s="10" t="n">
        <v>4</v>
      </c>
      <c r="N14" s="10" t="n">
        <v>5</v>
      </c>
      <c r="O14" s="10" t="n">
        <v>3</v>
      </c>
      <c r="P14" s="10" t="n">
        <v>3</v>
      </c>
      <c r="Q14" s="10" t="n">
        <v>4</v>
      </c>
      <c r="R14" s="10" t="n">
        <v>4</v>
      </c>
      <c r="S14" s="10" t="n">
        <v>3</v>
      </c>
      <c r="T14" s="10" t="n">
        <v>2</v>
      </c>
      <c r="U14" s="10" t="n">
        <v>4</v>
      </c>
      <c r="V14" s="10" t="n">
        <v>3</v>
      </c>
      <c r="W14" s="10" t="n">
        <v>4</v>
      </c>
      <c r="X14" s="10" t="n">
        <v>3</v>
      </c>
      <c r="Y14" s="10" t="n">
        <v>2</v>
      </c>
      <c r="Z14" s="10" t="n">
        <v>4</v>
      </c>
      <c r="AA14" s="10" t="n">
        <v>4</v>
      </c>
      <c r="AB14" s="10" t="n">
        <v>4</v>
      </c>
      <c r="AC14" s="10" t="n">
        <v>4</v>
      </c>
      <c r="AD14" s="10" t="n">
        <v>4</v>
      </c>
      <c r="AE14" s="10" t="n">
        <v>4</v>
      </c>
      <c r="AF14" s="10" t="n">
        <v>5</v>
      </c>
      <c r="AG14" s="10" t="n">
        <v>3</v>
      </c>
      <c r="AH14" s="11" t="n">
        <f aca="false">IF(V14="","",6-V14)</f>
        <v>3</v>
      </c>
      <c r="AI14" s="11" t="n">
        <f aca="false">IF(W14="","",6-W14)</f>
        <v>2</v>
      </c>
      <c r="AJ14" s="11" t="n">
        <f aca="false">IF(X14="","",6-X14)</f>
        <v>3</v>
      </c>
      <c r="AK14" s="11" t="n">
        <f aca="false">IF(Y14="","",6-Y14)</f>
        <v>4</v>
      </c>
      <c r="AL14" s="11" t="n">
        <f aca="false">IF(COUNT(H14:O14)=8,SUM(H14:O14),"")</f>
        <v>33</v>
      </c>
      <c r="AM14" s="11" t="n">
        <f aca="false">IF(COUNT(P14:U14,AH14:AK14)=10,SUM(P14:U14,AH14:AK14),"")</f>
        <v>32</v>
      </c>
      <c r="AN14" s="11" t="n">
        <f aca="false">IF(COUNT(Z14:AG14)=8,SUM(Z14:AG14),"")</f>
        <v>32</v>
      </c>
      <c r="AO14" s="12" t="n">
        <f aca="false">IF(AL14="","",AL14/8)</f>
        <v>4.125</v>
      </c>
      <c r="AP14" s="12" t="n">
        <f aca="false">IF(AM14="","",AM14/10)</f>
        <v>3.2</v>
      </c>
      <c r="AQ14" s="12" t="n">
        <f aca="false">IF(AN14="","",AN14/8)</f>
        <v>4</v>
      </c>
      <c r="AR14" s="11" t="n">
        <f aca="false">IF(A14="","",IF(OR(F14=1,G14=1,AND(E14&lt;&gt;"",E14&lt;=2)),2,IF(AND(E14&gt;=3,G14=2,OR(F14=2,F14=3)),1,"")))</f>
        <v>1</v>
      </c>
      <c r="AS14" s="11" t="str">
        <f aca="false">IF(AR14=1,"טיפוסי",IF(AR14=2,"מתקשה",""))</f>
        <v>טיפוסי</v>
      </c>
      <c r="AT14" s="12" t="n">
        <f aca="false">IF(AR14=1,AO14,"")</f>
        <v>4.125</v>
      </c>
      <c r="AU14" s="12" t="str">
        <f aca="false">IF(AR14=2,AO14,"")</f>
        <v/>
      </c>
      <c r="AV14" s="12" t="n">
        <f aca="false">IF(AR14=1,AP14,"")</f>
        <v>3.2</v>
      </c>
      <c r="AW14" s="12" t="str">
        <f aca="false">IF(AR14=2,AP14,"")</f>
        <v/>
      </c>
      <c r="AX14" s="12" t="n">
        <f aca="false">IF(AR14=1,AQ14,"")</f>
        <v>4</v>
      </c>
      <c r="AY14" s="12" t="str">
        <f aca="false">IF(AR14=2,AQ14,"")</f>
        <v/>
      </c>
    </row>
    <row r="15" customFormat="false" ht="15" hidden="false" customHeight="true" outlineLevel="0" collapsed="false">
      <c r="A15" s="10" t="n">
        <v>13</v>
      </c>
      <c r="B15" s="10" t="n">
        <v>2</v>
      </c>
      <c r="C15" s="10" t="n">
        <v>2</v>
      </c>
      <c r="D15" s="10" t="n">
        <v>13</v>
      </c>
      <c r="E15" s="10" t="n">
        <v>3</v>
      </c>
      <c r="F15" s="10" t="n">
        <v>1</v>
      </c>
      <c r="G15" s="10" t="n">
        <v>1</v>
      </c>
      <c r="H15" s="10" t="n">
        <v>4</v>
      </c>
      <c r="I15" s="10" t="n">
        <v>3</v>
      </c>
      <c r="J15" s="10" t="n">
        <v>4</v>
      </c>
      <c r="K15" s="10" t="n">
        <v>2</v>
      </c>
      <c r="L15" s="10" t="n">
        <v>4</v>
      </c>
      <c r="M15" s="10" t="n">
        <v>3</v>
      </c>
      <c r="N15" s="10" t="n">
        <v>3</v>
      </c>
      <c r="O15" s="10" t="n">
        <v>3</v>
      </c>
      <c r="P15" s="10" t="n">
        <v>4</v>
      </c>
      <c r="Q15" s="10" t="n">
        <v>5</v>
      </c>
      <c r="R15" s="10" t="n">
        <v>4</v>
      </c>
      <c r="S15" s="10" t="n">
        <v>5</v>
      </c>
      <c r="T15" s="10" t="n">
        <v>5</v>
      </c>
      <c r="U15" s="10" t="n">
        <v>5</v>
      </c>
      <c r="V15" s="10" t="n">
        <v>1</v>
      </c>
      <c r="W15" s="10" t="n">
        <v>1</v>
      </c>
      <c r="X15" s="10" t="n">
        <v>2</v>
      </c>
      <c r="Y15" s="10" t="n">
        <v>1</v>
      </c>
      <c r="Z15" s="10" t="n">
        <v>4</v>
      </c>
      <c r="AA15" s="10" t="n">
        <v>3</v>
      </c>
      <c r="AB15" s="10" t="n">
        <v>4</v>
      </c>
      <c r="AC15" s="10" t="n">
        <v>4</v>
      </c>
      <c r="AD15" s="10" t="n">
        <v>4</v>
      </c>
      <c r="AE15" s="10" t="n">
        <v>3</v>
      </c>
      <c r="AF15" s="10" t="n">
        <v>3</v>
      </c>
      <c r="AG15" s="10" t="n">
        <v>3</v>
      </c>
      <c r="AH15" s="11" t="n">
        <f aca="false">IF(V15="","",6-V15)</f>
        <v>5</v>
      </c>
      <c r="AI15" s="11" t="n">
        <f aca="false">IF(W15="","",6-W15)</f>
        <v>5</v>
      </c>
      <c r="AJ15" s="11" t="n">
        <f aca="false">IF(X15="","",6-X15)</f>
        <v>4</v>
      </c>
      <c r="AK15" s="11" t="n">
        <f aca="false">IF(Y15="","",6-Y15)</f>
        <v>5</v>
      </c>
      <c r="AL15" s="11" t="n">
        <f aca="false">IF(COUNT(H15:O15)=8,SUM(H15:O15),"")</f>
        <v>26</v>
      </c>
      <c r="AM15" s="11" t="n">
        <f aca="false">IF(COUNT(P15:U15,AH15:AK15)=10,SUM(P15:U15,AH15:AK15),"")</f>
        <v>47</v>
      </c>
      <c r="AN15" s="11" t="n">
        <f aca="false">IF(COUNT(Z15:AG15)=8,SUM(Z15:AG15),"")</f>
        <v>28</v>
      </c>
      <c r="AO15" s="12" t="n">
        <f aca="false">IF(AL15="","",AL15/8)</f>
        <v>3.25</v>
      </c>
      <c r="AP15" s="12" t="n">
        <f aca="false">IF(AM15="","",AM15/10)</f>
        <v>4.7</v>
      </c>
      <c r="AQ15" s="12" t="n">
        <f aca="false">IF(AN15="","",AN15/8)</f>
        <v>3.5</v>
      </c>
      <c r="AR15" s="11" t="n">
        <f aca="false">IF(A15="","",IF(OR(F15=1,G15=1,AND(E15&lt;&gt;"",E15&lt;=2)),2,IF(AND(E15&gt;=3,G15=2,OR(F15=2,F15=3)),1,"")))</f>
        <v>2</v>
      </c>
      <c r="AS15" s="11" t="str">
        <f aca="false">IF(AR15=1,"טיפוסי",IF(AR15=2,"מתקשה",""))</f>
        <v>מתקשה</v>
      </c>
      <c r="AT15" s="12" t="str">
        <f aca="false">IF(AR15=1,AO15,"")</f>
        <v/>
      </c>
      <c r="AU15" s="12" t="n">
        <f aca="false">IF(AR15=2,AO15,"")</f>
        <v>3.25</v>
      </c>
      <c r="AV15" s="12" t="str">
        <f aca="false">IF(AR15=1,AP15,"")</f>
        <v/>
      </c>
      <c r="AW15" s="12" t="n">
        <f aca="false">IF(AR15=2,AP15,"")</f>
        <v>4.7</v>
      </c>
      <c r="AX15" s="12" t="str">
        <f aca="false">IF(AR15=1,AQ15,"")</f>
        <v/>
      </c>
      <c r="AY15" s="12" t="n">
        <f aca="false">IF(AR15=2,AQ15,"")</f>
        <v>3.5</v>
      </c>
    </row>
    <row r="16" customFormat="false" ht="15" hidden="false" customHeight="true" outlineLevel="0" collapsed="false">
      <c r="A16" s="10" t="n">
        <v>14</v>
      </c>
      <c r="B16" s="10" t="n">
        <v>1</v>
      </c>
      <c r="C16" s="10" t="n">
        <v>2</v>
      </c>
      <c r="D16" s="10" t="n">
        <v>14</v>
      </c>
      <c r="E16" s="10" t="n">
        <v>3</v>
      </c>
      <c r="F16" s="10" t="n">
        <v>2</v>
      </c>
      <c r="G16" s="10" t="n">
        <v>2</v>
      </c>
      <c r="H16" s="10" t="n">
        <v>2</v>
      </c>
      <c r="I16" s="10" t="n">
        <v>1</v>
      </c>
      <c r="J16" s="10" t="n">
        <v>3</v>
      </c>
      <c r="K16" s="10" t="n">
        <v>3</v>
      </c>
      <c r="L16" s="10" t="n">
        <v>1</v>
      </c>
      <c r="M16" s="10" t="n">
        <v>2</v>
      </c>
      <c r="N16" s="10" t="n">
        <v>4</v>
      </c>
      <c r="O16" s="10" t="n">
        <v>2</v>
      </c>
      <c r="P16" s="10" t="n">
        <v>2</v>
      </c>
      <c r="Q16" s="10" t="n">
        <v>3</v>
      </c>
      <c r="R16" s="10" t="n">
        <v>2</v>
      </c>
      <c r="S16" s="10" t="n">
        <v>4</v>
      </c>
      <c r="T16" s="10" t="n">
        <v>4</v>
      </c>
      <c r="U16" s="10" t="n">
        <v>2</v>
      </c>
      <c r="V16" s="10" t="n">
        <v>3</v>
      </c>
      <c r="W16" s="10" t="n">
        <v>3</v>
      </c>
      <c r="X16" s="10" t="n">
        <v>3</v>
      </c>
      <c r="Y16" s="10" t="n">
        <v>3</v>
      </c>
      <c r="Z16" s="10" t="n">
        <v>4</v>
      </c>
      <c r="AA16" s="10" t="n">
        <v>4</v>
      </c>
      <c r="AB16" s="10" t="n">
        <v>3</v>
      </c>
      <c r="AC16" s="10" t="n">
        <v>3</v>
      </c>
      <c r="AD16" s="10" t="n">
        <v>4</v>
      </c>
      <c r="AE16" s="10" t="n">
        <v>4</v>
      </c>
      <c r="AF16" s="10" t="n">
        <v>3</v>
      </c>
      <c r="AG16" s="10" t="n">
        <v>3</v>
      </c>
      <c r="AH16" s="11" t="n">
        <f aca="false">IF(V16="","",6-V16)</f>
        <v>3</v>
      </c>
      <c r="AI16" s="11" t="n">
        <f aca="false">IF(W16="","",6-W16)</f>
        <v>3</v>
      </c>
      <c r="AJ16" s="11" t="n">
        <f aca="false">IF(X16="","",6-X16)</f>
        <v>3</v>
      </c>
      <c r="AK16" s="11" t="n">
        <f aca="false">IF(Y16="","",6-Y16)</f>
        <v>3</v>
      </c>
      <c r="AL16" s="11" t="n">
        <f aca="false">IF(COUNT(H16:O16)=8,SUM(H16:O16),"")</f>
        <v>18</v>
      </c>
      <c r="AM16" s="11" t="n">
        <f aca="false">IF(COUNT(P16:U16,AH16:AK16)=10,SUM(P16:U16,AH16:AK16),"")</f>
        <v>29</v>
      </c>
      <c r="AN16" s="11" t="n">
        <f aca="false">IF(COUNT(Z16:AG16)=8,SUM(Z16:AG16),"")</f>
        <v>28</v>
      </c>
      <c r="AO16" s="12" t="n">
        <f aca="false">IF(AL16="","",AL16/8)</f>
        <v>2.25</v>
      </c>
      <c r="AP16" s="12" t="n">
        <f aca="false">IF(AM16="","",AM16/10)</f>
        <v>2.9</v>
      </c>
      <c r="AQ16" s="12" t="n">
        <f aca="false">IF(AN16="","",AN16/8)</f>
        <v>3.5</v>
      </c>
      <c r="AR16" s="11" t="n">
        <f aca="false">IF(A16="","",IF(OR(F16=1,G16=1,AND(E16&lt;&gt;"",E16&lt;=2)),2,IF(AND(E16&gt;=3,G16=2,OR(F16=2,F16=3)),1,"")))</f>
        <v>1</v>
      </c>
      <c r="AS16" s="11" t="str">
        <f aca="false">IF(AR16=1,"טיפוסי",IF(AR16=2,"מתקשה",""))</f>
        <v>טיפוסי</v>
      </c>
      <c r="AT16" s="12" t="n">
        <f aca="false">IF(AR16=1,AO16,"")</f>
        <v>2.25</v>
      </c>
      <c r="AU16" s="12" t="str">
        <f aca="false">IF(AR16=2,AO16,"")</f>
        <v/>
      </c>
      <c r="AV16" s="12" t="n">
        <f aca="false">IF(AR16=1,AP16,"")</f>
        <v>2.9</v>
      </c>
      <c r="AW16" s="12" t="str">
        <f aca="false">IF(AR16=2,AP16,"")</f>
        <v/>
      </c>
      <c r="AX16" s="12" t="n">
        <f aca="false">IF(AR16=1,AQ16,"")</f>
        <v>3.5</v>
      </c>
      <c r="AY16" s="12" t="str">
        <f aca="false">IF(AR16=2,AQ16,"")</f>
        <v/>
      </c>
    </row>
    <row r="17" customFormat="false" ht="15" hidden="false" customHeight="true" outlineLevel="0" collapsed="false">
      <c r="A17" s="10" t="n">
        <v>15</v>
      </c>
      <c r="B17" s="10" t="n">
        <v>1</v>
      </c>
      <c r="C17" s="10" t="n">
        <v>2</v>
      </c>
      <c r="D17" s="10" t="n">
        <v>13</v>
      </c>
      <c r="E17" s="10" t="n">
        <v>3</v>
      </c>
      <c r="F17" s="10" t="n">
        <v>2</v>
      </c>
      <c r="G17" s="10" t="n">
        <v>2</v>
      </c>
      <c r="H17" s="10" t="n">
        <v>2</v>
      </c>
      <c r="I17" s="10" t="n">
        <v>3</v>
      </c>
      <c r="J17" s="10" t="n">
        <v>1</v>
      </c>
      <c r="K17" s="10" t="n">
        <v>2</v>
      </c>
      <c r="L17" s="10" t="n">
        <v>3</v>
      </c>
      <c r="M17" s="10" t="n">
        <v>2</v>
      </c>
      <c r="N17" s="10" t="n">
        <v>2</v>
      </c>
      <c r="O17" s="10" t="n">
        <v>2</v>
      </c>
      <c r="P17" s="10" t="n">
        <v>3</v>
      </c>
      <c r="Q17" s="10" t="n">
        <v>2</v>
      </c>
      <c r="R17" s="10" t="n">
        <v>4</v>
      </c>
      <c r="S17" s="10" t="n">
        <v>2</v>
      </c>
      <c r="T17" s="10" t="n">
        <v>3</v>
      </c>
      <c r="U17" s="10" t="n">
        <v>4</v>
      </c>
      <c r="V17" s="10" t="n">
        <v>4</v>
      </c>
      <c r="W17" s="10" t="n">
        <v>5</v>
      </c>
      <c r="X17" s="10" t="n">
        <v>3</v>
      </c>
      <c r="Y17" s="10" t="n">
        <v>4</v>
      </c>
      <c r="Z17" s="10" t="n">
        <v>3</v>
      </c>
      <c r="AA17" s="10" t="n">
        <v>2</v>
      </c>
      <c r="AB17" s="10" t="n">
        <v>1</v>
      </c>
      <c r="AC17" s="10" t="n">
        <v>3</v>
      </c>
      <c r="AD17" s="10" t="n">
        <v>2</v>
      </c>
      <c r="AE17" s="10" t="n">
        <v>3</v>
      </c>
      <c r="AF17" s="10" t="n">
        <v>1</v>
      </c>
      <c r="AG17" s="10" t="n">
        <v>1</v>
      </c>
      <c r="AH17" s="11" t="n">
        <f aca="false">IF(V17="","",6-V17)</f>
        <v>2</v>
      </c>
      <c r="AI17" s="11" t="n">
        <f aca="false">IF(W17="","",6-W17)</f>
        <v>1</v>
      </c>
      <c r="AJ17" s="11" t="n">
        <f aca="false">IF(X17="","",6-X17)</f>
        <v>3</v>
      </c>
      <c r="AK17" s="11" t="n">
        <f aca="false">IF(Y17="","",6-Y17)</f>
        <v>2</v>
      </c>
      <c r="AL17" s="11" t="n">
        <f aca="false">IF(COUNT(H17:O17)=8,SUM(H17:O17),"")</f>
        <v>17</v>
      </c>
      <c r="AM17" s="11" t="n">
        <f aca="false">IF(COUNT(P17:U17,AH17:AK17)=10,SUM(P17:U17,AH17:AK17),"")</f>
        <v>26</v>
      </c>
      <c r="AN17" s="11" t="n">
        <f aca="false">IF(COUNT(Z17:AG17)=8,SUM(Z17:AG17),"")</f>
        <v>16</v>
      </c>
      <c r="AO17" s="12" t="n">
        <f aca="false">IF(AL17="","",AL17/8)</f>
        <v>2.125</v>
      </c>
      <c r="AP17" s="12" t="n">
        <f aca="false">IF(AM17="","",AM17/10)</f>
        <v>2.6</v>
      </c>
      <c r="AQ17" s="12" t="n">
        <f aca="false">IF(AN17="","",AN17/8)</f>
        <v>2</v>
      </c>
      <c r="AR17" s="11" t="n">
        <f aca="false">IF(A17="","",IF(OR(F17=1,G17=1,AND(E17&lt;&gt;"",E17&lt;=2)),2,IF(AND(E17&gt;=3,G17=2,OR(F17=2,F17=3)),1,"")))</f>
        <v>1</v>
      </c>
      <c r="AS17" s="11" t="str">
        <f aca="false">IF(AR17=1,"טיפוסי",IF(AR17=2,"מתקשה",""))</f>
        <v>טיפוסי</v>
      </c>
      <c r="AT17" s="12" t="n">
        <f aca="false">IF(AR17=1,AO17,"")</f>
        <v>2.125</v>
      </c>
      <c r="AU17" s="12" t="str">
        <f aca="false">IF(AR17=2,AO17,"")</f>
        <v/>
      </c>
      <c r="AV17" s="12" t="n">
        <f aca="false">IF(AR17=1,AP17,"")</f>
        <v>2.6</v>
      </c>
      <c r="AW17" s="12" t="str">
        <f aca="false">IF(AR17=2,AP17,"")</f>
        <v/>
      </c>
      <c r="AX17" s="12" t="n">
        <f aca="false">IF(AR17=1,AQ17,"")</f>
        <v>2</v>
      </c>
      <c r="AY17" s="12" t="str">
        <f aca="false">IF(AR17=2,AQ17,"")</f>
        <v/>
      </c>
    </row>
    <row r="18" customFormat="false" ht="15" hidden="false" customHeight="true" outlineLevel="0" collapsed="false">
      <c r="A18" s="10" t="n">
        <v>16</v>
      </c>
      <c r="B18" s="10" t="n">
        <v>2</v>
      </c>
      <c r="C18" s="10" t="n">
        <v>2</v>
      </c>
      <c r="D18" s="10" t="n">
        <v>14</v>
      </c>
      <c r="E18" s="10" t="n">
        <v>3</v>
      </c>
      <c r="F18" s="10" t="n">
        <v>2</v>
      </c>
      <c r="G18" s="10" t="n">
        <v>2</v>
      </c>
      <c r="H18" s="10" t="n">
        <v>5</v>
      </c>
      <c r="I18" s="10" t="n">
        <v>4</v>
      </c>
      <c r="J18" s="10" t="n">
        <v>3</v>
      </c>
      <c r="K18" s="10" t="n">
        <v>4</v>
      </c>
      <c r="L18" s="10" t="n">
        <v>5</v>
      </c>
      <c r="M18" s="10" t="n">
        <v>4</v>
      </c>
      <c r="N18" s="10" t="n">
        <v>4</v>
      </c>
      <c r="O18" s="10" t="n">
        <v>5</v>
      </c>
      <c r="P18" s="10" t="n">
        <v>5</v>
      </c>
      <c r="Q18" s="10" t="n">
        <v>4</v>
      </c>
      <c r="R18" s="10" t="n">
        <v>4</v>
      </c>
      <c r="S18" s="10" t="n">
        <v>5</v>
      </c>
      <c r="T18" s="10" t="n">
        <v>4</v>
      </c>
      <c r="U18" s="10" t="n">
        <v>4</v>
      </c>
      <c r="V18" s="10" t="n">
        <v>4</v>
      </c>
      <c r="W18" s="10" t="n">
        <v>2</v>
      </c>
      <c r="X18" s="10" t="n">
        <v>2</v>
      </c>
      <c r="Y18" s="10" t="n">
        <v>1</v>
      </c>
      <c r="Z18" s="10" t="n">
        <v>4</v>
      </c>
      <c r="AA18" s="10" t="n">
        <v>2</v>
      </c>
      <c r="AB18" s="10" t="n">
        <v>4</v>
      </c>
      <c r="AC18" s="10" t="n">
        <v>3</v>
      </c>
      <c r="AD18" s="10" t="n">
        <v>3</v>
      </c>
      <c r="AE18" s="10" t="n">
        <v>2</v>
      </c>
      <c r="AF18" s="10" t="n">
        <v>4</v>
      </c>
      <c r="AG18" s="10" t="n">
        <v>3</v>
      </c>
      <c r="AH18" s="11" t="n">
        <f aca="false">IF(V18="","",6-V18)</f>
        <v>2</v>
      </c>
      <c r="AI18" s="11" t="n">
        <f aca="false">IF(W18="","",6-W18)</f>
        <v>4</v>
      </c>
      <c r="AJ18" s="11" t="n">
        <f aca="false">IF(X18="","",6-X18)</f>
        <v>4</v>
      </c>
      <c r="AK18" s="11" t="n">
        <f aca="false">IF(Y18="","",6-Y18)</f>
        <v>5</v>
      </c>
      <c r="AL18" s="11" t="n">
        <f aca="false">IF(COUNT(H18:O18)=8,SUM(H18:O18),"")</f>
        <v>34</v>
      </c>
      <c r="AM18" s="11" t="n">
        <f aca="false">IF(COUNT(P18:U18,AH18:AK18)=10,SUM(P18:U18,AH18:AK18),"")</f>
        <v>41</v>
      </c>
      <c r="AN18" s="11" t="n">
        <f aca="false">IF(COUNT(Z18:AG18)=8,SUM(Z18:AG18),"")</f>
        <v>25</v>
      </c>
      <c r="AO18" s="12" t="n">
        <f aca="false">IF(AL18="","",AL18/8)</f>
        <v>4.25</v>
      </c>
      <c r="AP18" s="12" t="n">
        <f aca="false">IF(AM18="","",AM18/10)</f>
        <v>4.1</v>
      </c>
      <c r="AQ18" s="12" t="n">
        <f aca="false">IF(AN18="","",AN18/8)</f>
        <v>3.125</v>
      </c>
      <c r="AR18" s="11" t="n">
        <f aca="false">IF(A18="","",IF(OR(F18=1,G18=1,AND(E18&lt;&gt;"",E18&lt;=2)),2,IF(AND(E18&gt;=3,G18=2,OR(F18=2,F18=3)),1,"")))</f>
        <v>1</v>
      </c>
      <c r="AS18" s="11" t="str">
        <f aca="false">IF(AR18=1,"טיפוסי",IF(AR18=2,"מתקשה",""))</f>
        <v>טיפוסי</v>
      </c>
      <c r="AT18" s="12" t="n">
        <f aca="false">IF(AR18=1,AO18,"")</f>
        <v>4.25</v>
      </c>
      <c r="AU18" s="12" t="str">
        <f aca="false">IF(AR18=2,AO18,"")</f>
        <v/>
      </c>
      <c r="AV18" s="12" t="n">
        <f aca="false">IF(AR18=1,AP18,"")</f>
        <v>4.1</v>
      </c>
      <c r="AW18" s="12" t="str">
        <f aca="false">IF(AR18=2,AP18,"")</f>
        <v/>
      </c>
      <c r="AX18" s="12" t="n">
        <f aca="false">IF(AR18=1,AQ18,"")</f>
        <v>3.125</v>
      </c>
      <c r="AY18" s="12" t="str">
        <f aca="false">IF(AR18=2,AQ18,"")</f>
        <v/>
      </c>
    </row>
    <row r="19" customFormat="false" ht="15" hidden="false" customHeight="true" outlineLevel="0" collapsed="false">
      <c r="A19" s="10" t="n">
        <v>17</v>
      </c>
      <c r="B19" s="10" t="n">
        <v>1</v>
      </c>
      <c r="C19" s="10" t="n">
        <v>1</v>
      </c>
      <c r="D19" s="10" t="n">
        <v>12</v>
      </c>
      <c r="E19" s="10" t="n">
        <v>4</v>
      </c>
      <c r="F19" s="10" t="n">
        <v>2</v>
      </c>
      <c r="G19" s="10" t="n">
        <v>2</v>
      </c>
      <c r="H19" s="10" t="n">
        <v>3</v>
      </c>
      <c r="I19" s="10" t="n">
        <v>1</v>
      </c>
      <c r="J19" s="10" t="n">
        <v>3</v>
      </c>
      <c r="K19" s="10" t="n">
        <v>4</v>
      </c>
      <c r="L19" s="10" t="n">
        <v>2</v>
      </c>
      <c r="M19" s="10" t="n">
        <v>2</v>
      </c>
      <c r="N19" s="10" t="n">
        <v>1</v>
      </c>
      <c r="O19" s="10" t="n">
        <v>3</v>
      </c>
      <c r="P19" s="10" t="n">
        <v>5</v>
      </c>
      <c r="Q19" s="10" t="n">
        <v>3</v>
      </c>
      <c r="R19" s="10" t="n">
        <v>4</v>
      </c>
      <c r="S19" s="10" t="n">
        <v>5</v>
      </c>
      <c r="T19" s="10" t="n">
        <v>5</v>
      </c>
      <c r="U19" s="10" t="n">
        <v>5</v>
      </c>
      <c r="V19" s="10" t="n">
        <v>4</v>
      </c>
      <c r="W19" s="10" t="n">
        <v>3</v>
      </c>
      <c r="X19" s="10" t="n">
        <v>3</v>
      </c>
      <c r="Y19" s="10" t="n">
        <v>4</v>
      </c>
      <c r="Z19" s="10" t="n">
        <v>4</v>
      </c>
      <c r="AA19" s="10" t="n">
        <v>4</v>
      </c>
      <c r="AB19" s="10" t="n">
        <v>3</v>
      </c>
      <c r="AC19" s="10" t="n">
        <v>5</v>
      </c>
      <c r="AD19" s="10" t="n">
        <v>4</v>
      </c>
      <c r="AE19" s="10" t="n">
        <v>5</v>
      </c>
      <c r="AF19" s="10" t="n">
        <v>5</v>
      </c>
      <c r="AG19" s="10" t="n">
        <v>2</v>
      </c>
      <c r="AH19" s="11" t="n">
        <f aca="false">IF(V19="","",6-V19)</f>
        <v>2</v>
      </c>
      <c r="AI19" s="11" t="n">
        <f aca="false">IF(W19="","",6-W19)</f>
        <v>3</v>
      </c>
      <c r="AJ19" s="11" t="n">
        <f aca="false">IF(X19="","",6-X19)</f>
        <v>3</v>
      </c>
      <c r="AK19" s="11" t="n">
        <f aca="false">IF(Y19="","",6-Y19)</f>
        <v>2</v>
      </c>
      <c r="AL19" s="11" t="n">
        <f aca="false">IF(COUNT(H19:O19)=8,SUM(H19:O19),"")</f>
        <v>19</v>
      </c>
      <c r="AM19" s="11" t="n">
        <f aca="false">IF(COUNT(P19:U19,AH19:AK19)=10,SUM(P19:U19,AH19:AK19),"")</f>
        <v>37</v>
      </c>
      <c r="AN19" s="11" t="n">
        <f aca="false">IF(COUNT(Z19:AG19)=8,SUM(Z19:AG19),"")</f>
        <v>32</v>
      </c>
      <c r="AO19" s="12" t="n">
        <f aca="false">IF(AL19="","",AL19/8)</f>
        <v>2.375</v>
      </c>
      <c r="AP19" s="12" t="n">
        <f aca="false">IF(AM19="","",AM19/10)</f>
        <v>3.7</v>
      </c>
      <c r="AQ19" s="12" t="n">
        <f aca="false">IF(AN19="","",AN19/8)</f>
        <v>4</v>
      </c>
      <c r="AR19" s="11" t="n">
        <f aca="false">IF(A19="","",IF(OR(F19=1,G19=1,AND(E19&lt;&gt;"",E19&lt;=2)),2,IF(AND(E19&gt;=3,G19=2,OR(F19=2,F19=3)),1,"")))</f>
        <v>1</v>
      </c>
      <c r="AS19" s="11" t="str">
        <f aca="false">IF(AR19=1,"טיפוסי",IF(AR19=2,"מתקשה",""))</f>
        <v>טיפוסי</v>
      </c>
      <c r="AT19" s="12" t="n">
        <f aca="false">IF(AR19=1,AO19,"")</f>
        <v>2.375</v>
      </c>
      <c r="AU19" s="12" t="str">
        <f aca="false">IF(AR19=2,AO19,"")</f>
        <v/>
      </c>
      <c r="AV19" s="12" t="n">
        <f aca="false">IF(AR19=1,AP19,"")</f>
        <v>3.7</v>
      </c>
      <c r="AW19" s="12" t="str">
        <f aca="false">IF(AR19=2,AP19,"")</f>
        <v/>
      </c>
      <c r="AX19" s="12" t="n">
        <f aca="false">IF(AR19=1,AQ19,"")</f>
        <v>4</v>
      </c>
      <c r="AY19" s="12" t="str">
        <f aca="false">IF(AR19=2,AQ19,"")</f>
        <v/>
      </c>
    </row>
    <row r="20" customFormat="false" ht="15" hidden="false" customHeight="true" outlineLevel="0" collapsed="false">
      <c r="A20" s="10" t="n">
        <v>18</v>
      </c>
      <c r="B20" s="10" t="n">
        <v>2</v>
      </c>
      <c r="C20" s="10" t="n">
        <v>3</v>
      </c>
      <c r="D20" s="10" t="n">
        <v>14</v>
      </c>
      <c r="E20" s="10" t="n">
        <v>3</v>
      </c>
      <c r="F20" s="10" t="n">
        <v>2</v>
      </c>
      <c r="G20" s="10" t="n">
        <v>2</v>
      </c>
      <c r="H20" s="10" t="n">
        <v>4</v>
      </c>
      <c r="I20" s="10" t="n">
        <v>5</v>
      </c>
      <c r="J20" s="10" t="n">
        <v>4</v>
      </c>
      <c r="K20" s="10" t="n">
        <v>5</v>
      </c>
      <c r="L20" s="10" t="n">
        <v>5</v>
      </c>
      <c r="M20" s="10" t="n">
        <v>4</v>
      </c>
      <c r="N20" s="10" t="n">
        <v>4</v>
      </c>
      <c r="O20" s="10" t="n">
        <v>5</v>
      </c>
      <c r="P20" s="10" t="n">
        <v>5</v>
      </c>
      <c r="Q20" s="10" t="n">
        <v>5</v>
      </c>
      <c r="R20" s="10" t="n">
        <v>4</v>
      </c>
      <c r="S20" s="10" t="n">
        <v>5</v>
      </c>
      <c r="T20" s="10" t="n">
        <v>5</v>
      </c>
      <c r="U20" s="10" t="n">
        <v>4</v>
      </c>
      <c r="V20" s="10" t="n">
        <v>1</v>
      </c>
      <c r="W20" s="10" t="n">
        <v>2</v>
      </c>
      <c r="X20" s="10" t="n">
        <v>3</v>
      </c>
      <c r="Y20" s="10" t="n">
        <v>1</v>
      </c>
      <c r="Z20" s="10" t="n">
        <v>3</v>
      </c>
      <c r="AA20" s="10" t="n">
        <v>3</v>
      </c>
      <c r="AB20" s="10" t="n">
        <v>5</v>
      </c>
      <c r="AC20" s="10" t="n">
        <v>3</v>
      </c>
      <c r="AD20" s="10" t="n">
        <v>2</v>
      </c>
      <c r="AE20" s="10" t="n">
        <v>3</v>
      </c>
      <c r="AF20" s="10" t="n">
        <v>3</v>
      </c>
      <c r="AG20" s="10" t="n">
        <v>4</v>
      </c>
      <c r="AH20" s="11" t="n">
        <f aca="false">IF(V20="","",6-V20)</f>
        <v>5</v>
      </c>
      <c r="AI20" s="11" t="n">
        <f aca="false">IF(W20="","",6-W20)</f>
        <v>4</v>
      </c>
      <c r="AJ20" s="11" t="n">
        <f aca="false">IF(X20="","",6-X20)</f>
        <v>3</v>
      </c>
      <c r="AK20" s="11" t="n">
        <f aca="false">IF(Y20="","",6-Y20)</f>
        <v>5</v>
      </c>
      <c r="AL20" s="11" t="n">
        <f aca="false">IF(COUNT(H20:O20)=8,SUM(H20:O20),"")</f>
        <v>36</v>
      </c>
      <c r="AM20" s="11" t="n">
        <f aca="false">IF(COUNT(P20:U20,AH20:AK20)=10,SUM(P20:U20,AH20:AK20),"")</f>
        <v>45</v>
      </c>
      <c r="AN20" s="11" t="n">
        <f aca="false">IF(COUNT(Z20:AG20)=8,SUM(Z20:AG20),"")</f>
        <v>26</v>
      </c>
      <c r="AO20" s="12" t="n">
        <f aca="false">IF(AL20="","",AL20/8)</f>
        <v>4.5</v>
      </c>
      <c r="AP20" s="12" t="n">
        <f aca="false">IF(AM20="","",AM20/10)</f>
        <v>4.5</v>
      </c>
      <c r="AQ20" s="12" t="n">
        <f aca="false">IF(AN20="","",AN20/8)</f>
        <v>3.25</v>
      </c>
      <c r="AR20" s="11" t="n">
        <f aca="false">IF(A20="","",IF(OR(F20=1,G20=1,AND(E20&lt;&gt;"",E20&lt;=2)),2,IF(AND(E20&gt;=3,G20=2,OR(F20=2,F20=3)),1,"")))</f>
        <v>1</v>
      </c>
      <c r="AS20" s="11" t="str">
        <f aca="false">IF(AR20=1,"טיפוסי",IF(AR20=2,"מתקשה",""))</f>
        <v>טיפוסי</v>
      </c>
      <c r="AT20" s="12" t="n">
        <f aca="false">IF(AR20=1,AO20,"")</f>
        <v>4.5</v>
      </c>
      <c r="AU20" s="12" t="str">
        <f aca="false">IF(AR20=2,AO20,"")</f>
        <v/>
      </c>
      <c r="AV20" s="12" t="n">
        <f aca="false">IF(AR20=1,AP20,"")</f>
        <v>4.5</v>
      </c>
      <c r="AW20" s="12" t="str">
        <f aca="false">IF(AR20=2,AP20,"")</f>
        <v/>
      </c>
      <c r="AX20" s="12" t="n">
        <f aca="false">IF(AR20=1,AQ20,"")</f>
        <v>3.25</v>
      </c>
      <c r="AY20" s="12" t="str">
        <f aca="false">IF(AR20=2,AQ20,"")</f>
        <v/>
      </c>
    </row>
    <row r="21" customFormat="false" ht="15" hidden="false" customHeight="true" outlineLevel="0" collapsed="false">
      <c r="A21" s="10" t="n">
        <v>19</v>
      </c>
      <c r="B21" s="10" t="n">
        <v>2</v>
      </c>
      <c r="C21" s="10" t="n">
        <v>2</v>
      </c>
      <c r="D21" s="10" t="n">
        <v>13</v>
      </c>
      <c r="E21" s="10" t="n">
        <v>3</v>
      </c>
      <c r="F21" s="10" t="n">
        <v>2</v>
      </c>
      <c r="G21" s="10" t="n">
        <v>2</v>
      </c>
      <c r="H21" s="10" t="n">
        <v>4</v>
      </c>
      <c r="I21" s="10" t="n">
        <v>4</v>
      </c>
      <c r="J21" s="10" t="n">
        <v>4</v>
      </c>
      <c r="K21" s="10" t="n">
        <v>4</v>
      </c>
      <c r="L21" s="10" t="n">
        <v>5</v>
      </c>
      <c r="M21" s="10" t="n">
        <v>4</v>
      </c>
      <c r="N21" s="10" t="n">
        <v>4</v>
      </c>
      <c r="O21" s="10" t="n">
        <v>5</v>
      </c>
      <c r="P21" s="10" t="n">
        <v>4</v>
      </c>
      <c r="Q21" s="10" t="n">
        <v>4</v>
      </c>
      <c r="R21" s="10" t="n">
        <v>2</v>
      </c>
      <c r="S21" s="10" t="n">
        <v>3</v>
      </c>
      <c r="T21" s="10" t="n">
        <v>3</v>
      </c>
      <c r="U21" s="10" t="n">
        <v>4</v>
      </c>
      <c r="V21" s="10" t="n">
        <v>2</v>
      </c>
      <c r="W21" s="10" t="n">
        <v>2</v>
      </c>
      <c r="X21" s="10" t="n">
        <v>3</v>
      </c>
      <c r="Y21" s="10" t="n">
        <v>2</v>
      </c>
      <c r="Z21" s="10" t="n">
        <v>5</v>
      </c>
      <c r="AA21" s="10" t="n">
        <v>5</v>
      </c>
      <c r="AB21" s="10" t="n">
        <v>5</v>
      </c>
      <c r="AC21" s="10" t="n">
        <v>4</v>
      </c>
      <c r="AD21" s="10" t="n">
        <v>5</v>
      </c>
      <c r="AE21" s="10" t="n">
        <v>4</v>
      </c>
      <c r="AF21" s="10" t="n">
        <v>4</v>
      </c>
      <c r="AG21" s="10" t="n">
        <v>4</v>
      </c>
      <c r="AH21" s="11" t="n">
        <f aca="false">IF(V21="","",6-V21)</f>
        <v>4</v>
      </c>
      <c r="AI21" s="11" t="n">
        <f aca="false">IF(W21="","",6-W21)</f>
        <v>4</v>
      </c>
      <c r="AJ21" s="11" t="n">
        <f aca="false">IF(X21="","",6-X21)</f>
        <v>3</v>
      </c>
      <c r="AK21" s="11" t="n">
        <f aca="false">IF(Y21="","",6-Y21)</f>
        <v>4</v>
      </c>
      <c r="AL21" s="11" t="n">
        <f aca="false">IF(COUNT(H21:O21)=8,SUM(H21:O21),"")</f>
        <v>34</v>
      </c>
      <c r="AM21" s="11" t="n">
        <f aca="false">IF(COUNT(P21:U21,AH21:AK21)=10,SUM(P21:U21,AH21:AK21),"")</f>
        <v>35</v>
      </c>
      <c r="AN21" s="11" t="n">
        <f aca="false">IF(COUNT(Z21:AG21)=8,SUM(Z21:AG21),"")</f>
        <v>36</v>
      </c>
      <c r="AO21" s="12" t="n">
        <f aca="false">IF(AL21="","",AL21/8)</f>
        <v>4.25</v>
      </c>
      <c r="AP21" s="12" t="n">
        <f aca="false">IF(AM21="","",AM21/10)</f>
        <v>3.5</v>
      </c>
      <c r="AQ21" s="12" t="n">
        <f aca="false">IF(AN21="","",AN21/8)</f>
        <v>4.5</v>
      </c>
      <c r="AR21" s="11" t="n">
        <f aca="false">IF(A21="","",IF(OR(F21=1,G21=1,AND(E21&lt;&gt;"",E21&lt;=2)),2,IF(AND(E21&gt;=3,G21=2,OR(F21=2,F21=3)),1,"")))</f>
        <v>1</v>
      </c>
      <c r="AS21" s="11" t="str">
        <f aca="false">IF(AR21=1,"טיפוסי",IF(AR21=2,"מתקשה",""))</f>
        <v>טיפוסי</v>
      </c>
      <c r="AT21" s="12" t="n">
        <f aca="false">IF(AR21=1,AO21,"")</f>
        <v>4.25</v>
      </c>
      <c r="AU21" s="12" t="str">
        <f aca="false">IF(AR21=2,AO21,"")</f>
        <v/>
      </c>
      <c r="AV21" s="12" t="n">
        <f aca="false">IF(AR21=1,AP21,"")</f>
        <v>3.5</v>
      </c>
      <c r="AW21" s="12" t="str">
        <f aca="false">IF(AR21=2,AP21,"")</f>
        <v/>
      </c>
      <c r="AX21" s="12" t="n">
        <f aca="false">IF(AR21=1,AQ21,"")</f>
        <v>4.5</v>
      </c>
      <c r="AY21" s="12" t="str">
        <f aca="false">IF(AR21=2,AQ21,"")</f>
        <v/>
      </c>
    </row>
    <row r="22" customFormat="false" ht="15" hidden="false" customHeight="true" outlineLevel="0" collapsed="false">
      <c r="A22" s="10" t="n">
        <v>20</v>
      </c>
      <c r="B22" s="10" t="n">
        <v>1</v>
      </c>
      <c r="C22" s="10" t="n">
        <v>2</v>
      </c>
      <c r="D22" s="10" t="n">
        <v>13</v>
      </c>
      <c r="E22" s="10" t="n">
        <v>2</v>
      </c>
      <c r="F22" s="10" t="n">
        <v>1</v>
      </c>
      <c r="G22" s="10" t="n">
        <v>1</v>
      </c>
      <c r="H22" s="10" t="n">
        <v>4</v>
      </c>
      <c r="I22" s="10" t="n">
        <v>4</v>
      </c>
      <c r="J22" s="10" t="n">
        <v>3</v>
      </c>
      <c r="K22" s="10" t="n">
        <v>4</v>
      </c>
      <c r="L22" s="10" t="n">
        <v>4</v>
      </c>
      <c r="M22" s="10" t="n">
        <v>3</v>
      </c>
      <c r="N22" s="10" t="n">
        <v>4</v>
      </c>
      <c r="O22" s="10" t="n">
        <v>3</v>
      </c>
      <c r="P22" s="10" t="n">
        <v>1</v>
      </c>
      <c r="Q22" s="10" t="n">
        <v>3</v>
      </c>
      <c r="R22" s="10" t="n">
        <v>3</v>
      </c>
      <c r="S22" s="10" t="n">
        <v>3</v>
      </c>
      <c r="T22" s="10" t="n">
        <v>1</v>
      </c>
      <c r="U22" s="10" t="n">
        <v>2</v>
      </c>
      <c r="V22" s="10" t="n">
        <v>3</v>
      </c>
      <c r="W22" s="10" t="n">
        <v>5</v>
      </c>
      <c r="X22" s="10" t="n">
        <v>5</v>
      </c>
      <c r="Y22" s="10" t="n">
        <v>5</v>
      </c>
      <c r="Z22" s="10" t="n">
        <v>4</v>
      </c>
      <c r="AA22" s="10" t="n">
        <v>3</v>
      </c>
      <c r="AB22" s="10" t="n">
        <v>4</v>
      </c>
      <c r="AC22" s="10" t="n">
        <v>4</v>
      </c>
      <c r="AD22" s="10" t="n">
        <v>3</v>
      </c>
      <c r="AE22" s="10" t="n">
        <v>2</v>
      </c>
      <c r="AF22" s="10" t="n">
        <v>4</v>
      </c>
      <c r="AG22" s="10" t="n">
        <v>3</v>
      </c>
      <c r="AH22" s="11" t="n">
        <f aca="false">IF(V22="","",6-V22)</f>
        <v>3</v>
      </c>
      <c r="AI22" s="11" t="n">
        <f aca="false">IF(W22="","",6-W22)</f>
        <v>1</v>
      </c>
      <c r="AJ22" s="11" t="n">
        <f aca="false">IF(X22="","",6-X22)</f>
        <v>1</v>
      </c>
      <c r="AK22" s="11" t="n">
        <f aca="false">IF(Y22="","",6-Y22)</f>
        <v>1</v>
      </c>
      <c r="AL22" s="11" t="n">
        <f aca="false">IF(COUNT(H22:O22)=8,SUM(H22:O22),"")</f>
        <v>29</v>
      </c>
      <c r="AM22" s="11" t="n">
        <f aca="false">IF(COUNT(P22:U22,AH22:AK22)=10,SUM(P22:U22,AH22:AK22),"")</f>
        <v>19</v>
      </c>
      <c r="AN22" s="11" t="n">
        <f aca="false">IF(COUNT(Z22:AG22)=8,SUM(Z22:AG22),"")</f>
        <v>27</v>
      </c>
      <c r="AO22" s="12" t="n">
        <f aca="false">IF(AL22="","",AL22/8)</f>
        <v>3.625</v>
      </c>
      <c r="AP22" s="12" t="n">
        <f aca="false">IF(AM22="","",AM22/10)</f>
        <v>1.9</v>
      </c>
      <c r="AQ22" s="12" t="n">
        <f aca="false">IF(AN22="","",AN22/8)</f>
        <v>3.375</v>
      </c>
      <c r="AR22" s="11" t="n">
        <f aca="false">IF(A22="","",IF(OR(F22=1,G22=1,AND(E22&lt;&gt;"",E22&lt;=2)),2,IF(AND(E22&gt;=3,G22=2,OR(F22=2,F22=3)),1,"")))</f>
        <v>2</v>
      </c>
      <c r="AS22" s="11" t="str">
        <f aca="false">IF(AR22=1,"טיפוסי",IF(AR22=2,"מתקשה",""))</f>
        <v>מתקשה</v>
      </c>
      <c r="AT22" s="12" t="str">
        <f aca="false">IF(AR22=1,AO22,"")</f>
        <v/>
      </c>
      <c r="AU22" s="12" t="n">
        <f aca="false">IF(AR22=2,AO22,"")</f>
        <v>3.625</v>
      </c>
      <c r="AV22" s="12" t="str">
        <f aca="false">IF(AR22=1,AP22,"")</f>
        <v/>
      </c>
      <c r="AW22" s="12" t="n">
        <f aca="false">IF(AR22=2,AP22,"")</f>
        <v>1.9</v>
      </c>
      <c r="AX22" s="12" t="str">
        <f aca="false">IF(AR22=1,AQ22,"")</f>
        <v/>
      </c>
      <c r="AY22" s="12" t="n">
        <f aca="false">IF(AR22=2,AQ22,"")</f>
        <v>3.375</v>
      </c>
    </row>
    <row r="23" customFormat="false" ht="15" hidden="false" customHeight="true" outlineLevel="0" collapsed="false">
      <c r="A23" s="10" t="n">
        <v>21</v>
      </c>
      <c r="B23" s="10" t="n">
        <v>2</v>
      </c>
      <c r="C23" s="10" t="n">
        <v>3</v>
      </c>
      <c r="D23" s="10" t="n">
        <v>15</v>
      </c>
      <c r="E23" s="10" t="n">
        <v>2</v>
      </c>
      <c r="F23" s="10" t="n">
        <v>1</v>
      </c>
      <c r="G23" s="10" t="n">
        <v>2</v>
      </c>
      <c r="H23" s="10" t="n">
        <v>5</v>
      </c>
      <c r="I23" s="10" t="n">
        <v>5</v>
      </c>
      <c r="J23" s="10" t="n">
        <v>5</v>
      </c>
      <c r="K23" s="10" t="n">
        <v>4</v>
      </c>
      <c r="L23" s="10" t="n">
        <v>5</v>
      </c>
      <c r="M23" s="10" t="n">
        <v>4</v>
      </c>
      <c r="N23" s="10" t="n">
        <v>4</v>
      </c>
      <c r="O23" s="10" t="n">
        <v>4</v>
      </c>
      <c r="P23" s="10" t="n">
        <v>4</v>
      </c>
      <c r="Q23" s="10" t="n">
        <v>2</v>
      </c>
      <c r="R23" s="10" t="n">
        <v>4</v>
      </c>
      <c r="S23" s="10" t="n">
        <v>3</v>
      </c>
      <c r="T23" s="10" t="n">
        <v>4</v>
      </c>
      <c r="U23" s="10" t="n">
        <v>2</v>
      </c>
      <c r="V23" s="10" t="n">
        <v>3</v>
      </c>
      <c r="W23" s="10" t="n">
        <v>4</v>
      </c>
      <c r="X23" s="10" t="n">
        <v>4</v>
      </c>
      <c r="Y23" s="10" t="n">
        <v>3</v>
      </c>
      <c r="Z23" s="10" t="n">
        <v>4</v>
      </c>
      <c r="AA23" s="10" t="n">
        <v>4</v>
      </c>
      <c r="AB23" s="10" t="n">
        <v>3</v>
      </c>
      <c r="AC23" s="10" t="n">
        <v>4</v>
      </c>
      <c r="AD23" s="10" t="n">
        <v>3</v>
      </c>
      <c r="AE23" s="10" t="n">
        <v>4</v>
      </c>
      <c r="AF23" s="10" t="n">
        <v>3</v>
      </c>
      <c r="AG23" s="10" t="n">
        <v>4</v>
      </c>
      <c r="AH23" s="11" t="n">
        <f aca="false">IF(V23="","",6-V23)</f>
        <v>3</v>
      </c>
      <c r="AI23" s="11" t="n">
        <f aca="false">IF(W23="","",6-W23)</f>
        <v>2</v>
      </c>
      <c r="AJ23" s="11" t="n">
        <f aca="false">IF(X23="","",6-X23)</f>
        <v>2</v>
      </c>
      <c r="AK23" s="11" t="n">
        <f aca="false">IF(Y23="","",6-Y23)</f>
        <v>3</v>
      </c>
      <c r="AL23" s="11" t="n">
        <f aca="false">IF(COUNT(H23:O23)=8,SUM(H23:O23),"")</f>
        <v>36</v>
      </c>
      <c r="AM23" s="11" t="n">
        <f aca="false">IF(COUNT(P23:U23,AH23:AK23)=10,SUM(P23:U23,AH23:AK23),"")</f>
        <v>29</v>
      </c>
      <c r="AN23" s="11" t="n">
        <f aca="false">IF(COUNT(Z23:AG23)=8,SUM(Z23:AG23),"")</f>
        <v>29</v>
      </c>
      <c r="AO23" s="12" t="n">
        <f aca="false">IF(AL23="","",AL23/8)</f>
        <v>4.5</v>
      </c>
      <c r="AP23" s="12" t="n">
        <f aca="false">IF(AM23="","",AM23/10)</f>
        <v>2.9</v>
      </c>
      <c r="AQ23" s="12" t="n">
        <f aca="false">IF(AN23="","",AN23/8)</f>
        <v>3.625</v>
      </c>
      <c r="AR23" s="11" t="n">
        <f aca="false">IF(A23="","",IF(OR(F23=1,G23=1,AND(E23&lt;&gt;"",E23&lt;=2)),2,IF(AND(E23&gt;=3,G23=2,OR(F23=2,F23=3)),1,"")))</f>
        <v>2</v>
      </c>
      <c r="AS23" s="11" t="str">
        <f aca="false">IF(AR23=1,"טיפוסי",IF(AR23=2,"מתקשה",""))</f>
        <v>מתקשה</v>
      </c>
      <c r="AT23" s="12" t="str">
        <f aca="false">IF(AR23=1,AO23,"")</f>
        <v/>
      </c>
      <c r="AU23" s="12" t="n">
        <f aca="false">IF(AR23=2,AO23,"")</f>
        <v>4.5</v>
      </c>
      <c r="AV23" s="12" t="str">
        <f aca="false">IF(AR23=1,AP23,"")</f>
        <v/>
      </c>
      <c r="AW23" s="12" t="n">
        <f aca="false">IF(AR23=2,AP23,"")</f>
        <v>2.9</v>
      </c>
      <c r="AX23" s="12" t="str">
        <f aca="false">IF(AR23=1,AQ23,"")</f>
        <v/>
      </c>
      <c r="AY23" s="12" t="n">
        <f aca="false">IF(AR23=2,AQ23,"")</f>
        <v>3.625</v>
      </c>
    </row>
    <row r="24" customFormat="false" ht="15" hidden="false" customHeight="true" outlineLevel="0" collapsed="false">
      <c r="A24" s="10" t="n">
        <v>22</v>
      </c>
      <c r="B24" s="10" t="n">
        <v>1</v>
      </c>
      <c r="C24" s="10" t="n">
        <v>1</v>
      </c>
      <c r="D24" s="10" t="n">
        <v>12</v>
      </c>
      <c r="E24" s="10" t="n">
        <v>4</v>
      </c>
      <c r="F24" s="10" t="n">
        <v>2</v>
      </c>
      <c r="G24" s="10" t="n">
        <v>2</v>
      </c>
      <c r="H24" s="10" t="n">
        <v>2</v>
      </c>
      <c r="I24" s="10" t="n">
        <v>3</v>
      </c>
      <c r="J24" s="10" t="n">
        <v>4</v>
      </c>
      <c r="K24" s="10" t="n">
        <v>3</v>
      </c>
      <c r="L24" s="10" t="n">
        <v>2</v>
      </c>
      <c r="M24" s="10" t="n">
        <v>5</v>
      </c>
      <c r="N24" s="10" t="n">
        <v>4</v>
      </c>
      <c r="O24" s="10" t="n">
        <v>4</v>
      </c>
      <c r="P24" s="10" t="n">
        <v>4</v>
      </c>
      <c r="Q24" s="10" t="n">
        <v>2</v>
      </c>
      <c r="R24" s="10" t="n">
        <v>2</v>
      </c>
      <c r="S24" s="10" t="n">
        <v>2</v>
      </c>
      <c r="T24" s="10" t="n">
        <v>2</v>
      </c>
      <c r="U24" s="10" t="n">
        <v>2</v>
      </c>
      <c r="V24" s="10" t="n">
        <v>2</v>
      </c>
      <c r="W24" s="10" t="n">
        <v>3</v>
      </c>
      <c r="X24" s="10" t="n">
        <v>3</v>
      </c>
      <c r="Y24" s="10" t="n">
        <v>3</v>
      </c>
      <c r="Z24" s="10" t="n">
        <v>4</v>
      </c>
      <c r="AA24" s="10" t="n">
        <v>4</v>
      </c>
      <c r="AB24" s="10" t="n">
        <v>3</v>
      </c>
      <c r="AC24" s="10" t="n">
        <v>4</v>
      </c>
      <c r="AD24" s="10" t="n">
        <v>3</v>
      </c>
      <c r="AE24" s="10" t="n">
        <v>3</v>
      </c>
      <c r="AF24" s="10" t="n">
        <v>3</v>
      </c>
      <c r="AG24" s="10" t="n">
        <v>4</v>
      </c>
      <c r="AH24" s="11" t="n">
        <f aca="false">IF(V24="","",6-V24)</f>
        <v>4</v>
      </c>
      <c r="AI24" s="11" t="n">
        <f aca="false">IF(W24="","",6-W24)</f>
        <v>3</v>
      </c>
      <c r="AJ24" s="11" t="n">
        <f aca="false">IF(X24="","",6-X24)</f>
        <v>3</v>
      </c>
      <c r="AK24" s="11" t="n">
        <f aca="false">IF(Y24="","",6-Y24)</f>
        <v>3</v>
      </c>
      <c r="AL24" s="11" t="n">
        <f aca="false">IF(COUNT(H24:O24)=8,SUM(H24:O24),"")</f>
        <v>27</v>
      </c>
      <c r="AM24" s="11" t="n">
        <f aca="false">IF(COUNT(P24:U24,AH24:AK24)=10,SUM(P24:U24,AH24:AK24),"")</f>
        <v>27</v>
      </c>
      <c r="AN24" s="11" t="n">
        <f aca="false">IF(COUNT(Z24:AG24)=8,SUM(Z24:AG24),"")</f>
        <v>28</v>
      </c>
      <c r="AO24" s="12" t="n">
        <f aca="false">IF(AL24="","",AL24/8)</f>
        <v>3.375</v>
      </c>
      <c r="AP24" s="12" t="n">
        <f aca="false">IF(AM24="","",AM24/10)</f>
        <v>2.7</v>
      </c>
      <c r="AQ24" s="12" t="n">
        <f aca="false">IF(AN24="","",AN24/8)</f>
        <v>3.5</v>
      </c>
      <c r="AR24" s="11" t="n">
        <f aca="false">IF(A24="","",IF(OR(F24=1,G24=1,AND(E24&lt;&gt;"",E24&lt;=2)),2,IF(AND(E24&gt;=3,G24=2,OR(F24=2,F24=3)),1,"")))</f>
        <v>1</v>
      </c>
      <c r="AS24" s="11" t="str">
        <f aca="false">IF(AR24=1,"טיפוסי",IF(AR24=2,"מתקשה",""))</f>
        <v>טיפוסי</v>
      </c>
      <c r="AT24" s="12" t="n">
        <f aca="false">IF(AR24=1,AO24,"")</f>
        <v>3.375</v>
      </c>
      <c r="AU24" s="12" t="str">
        <f aca="false">IF(AR24=2,AO24,"")</f>
        <v/>
      </c>
      <c r="AV24" s="12" t="n">
        <f aca="false">IF(AR24=1,AP24,"")</f>
        <v>2.7</v>
      </c>
      <c r="AW24" s="12" t="str">
        <f aca="false">IF(AR24=2,AP24,"")</f>
        <v/>
      </c>
      <c r="AX24" s="12" t="n">
        <f aca="false">IF(AR24=1,AQ24,"")</f>
        <v>3.5</v>
      </c>
      <c r="AY24" s="12" t="str">
        <f aca="false">IF(AR24=2,AQ24,"")</f>
        <v/>
      </c>
    </row>
    <row r="25" customFormat="false" ht="15" hidden="false" customHeight="true" outlineLevel="0" collapsed="false">
      <c r="A25" s="10" t="n">
        <v>23</v>
      </c>
      <c r="B25" s="10" t="n">
        <v>2</v>
      </c>
      <c r="C25" s="10" t="n">
        <v>2</v>
      </c>
      <c r="D25" s="10" t="n">
        <v>13</v>
      </c>
      <c r="E25" s="10" t="n">
        <v>1</v>
      </c>
      <c r="F25" s="10" t="n">
        <v>1</v>
      </c>
      <c r="G25" s="10" t="n">
        <v>2</v>
      </c>
      <c r="H25" s="10" t="n">
        <v>3</v>
      </c>
      <c r="I25" s="10" t="n">
        <v>4</v>
      </c>
      <c r="J25" s="10" t="n">
        <v>2</v>
      </c>
      <c r="K25" s="10" t="n">
        <v>4</v>
      </c>
      <c r="L25" s="10" t="n">
        <v>3</v>
      </c>
      <c r="M25" s="10" t="n">
        <v>4</v>
      </c>
      <c r="N25" s="10" t="n">
        <v>4</v>
      </c>
      <c r="O25" s="10" t="n">
        <v>3</v>
      </c>
      <c r="P25" s="10" t="n">
        <v>5</v>
      </c>
      <c r="Q25" s="10" t="n">
        <v>5</v>
      </c>
      <c r="R25" s="10" t="n">
        <v>3</v>
      </c>
      <c r="S25" s="10" t="n">
        <v>4</v>
      </c>
      <c r="T25" s="10" t="n">
        <v>3</v>
      </c>
      <c r="U25" s="10" t="n">
        <v>3</v>
      </c>
      <c r="V25" s="10" t="n">
        <v>3</v>
      </c>
      <c r="W25" s="10" t="n">
        <v>3</v>
      </c>
      <c r="X25" s="10" t="n">
        <v>2</v>
      </c>
      <c r="Y25" s="10" t="n">
        <v>1</v>
      </c>
      <c r="Z25" s="10" t="n">
        <v>2</v>
      </c>
      <c r="AA25" s="10" t="n">
        <v>1</v>
      </c>
      <c r="AB25" s="10" t="n">
        <v>2</v>
      </c>
      <c r="AC25" s="10" t="n">
        <v>1</v>
      </c>
      <c r="AD25" s="10" t="n">
        <v>2</v>
      </c>
      <c r="AE25" s="10" t="n">
        <v>2</v>
      </c>
      <c r="AF25" s="10" t="n">
        <v>3</v>
      </c>
      <c r="AG25" s="10" t="n">
        <v>2</v>
      </c>
      <c r="AH25" s="11" t="n">
        <f aca="false">IF(V25="","",6-V25)</f>
        <v>3</v>
      </c>
      <c r="AI25" s="11" t="n">
        <f aca="false">IF(W25="","",6-W25)</f>
        <v>3</v>
      </c>
      <c r="AJ25" s="11" t="n">
        <f aca="false">IF(X25="","",6-X25)</f>
        <v>4</v>
      </c>
      <c r="AK25" s="11" t="n">
        <f aca="false">IF(Y25="","",6-Y25)</f>
        <v>5</v>
      </c>
      <c r="AL25" s="11" t="n">
        <f aca="false">IF(COUNT(H25:O25)=8,SUM(H25:O25),"")</f>
        <v>27</v>
      </c>
      <c r="AM25" s="11" t="n">
        <f aca="false">IF(COUNT(P25:U25,AH25:AK25)=10,SUM(P25:U25,AH25:AK25),"")</f>
        <v>38</v>
      </c>
      <c r="AN25" s="11" t="n">
        <f aca="false">IF(COUNT(Z25:AG25)=8,SUM(Z25:AG25),"")</f>
        <v>15</v>
      </c>
      <c r="AO25" s="12" t="n">
        <f aca="false">IF(AL25="","",AL25/8)</f>
        <v>3.375</v>
      </c>
      <c r="AP25" s="12" t="n">
        <f aca="false">IF(AM25="","",AM25/10)</f>
        <v>3.8</v>
      </c>
      <c r="AQ25" s="12" t="n">
        <f aca="false">IF(AN25="","",AN25/8)</f>
        <v>1.875</v>
      </c>
      <c r="AR25" s="11" t="n">
        <f aca="false">IF(A25="","",IF(OR(F25=1,G25=1,AND(E25&lt;&gt;"",E25&lt;=2)),2,IF(AND(E25&gt;=3,G25=2,OR(F25=2,F25=3)),1,"")))</f>
        <v>2</v>
      </c>
      <c r="AS25" s="11" t="str">
        <f aca="false">IF(AR25=1,"טיפוסי",IF(AR25=2,"מתקשה",""))</f>
        <v>מתקשה</v>
      </c>
      <c r="AT25" s="12" t="str">
        <f aca="false">IF(AR25=1,AO25,"")</f>
        <v/>
      </c>
      <c r="AU25" s="12" t="n">
        <f aca="false">IF(AR25=2,AO25,"")</f>
        <v>3.375</v>
      </c>
      <c r="AV25" s="12" t="str">
        <f aca="false">IF(AR25=1,AP25,"")</f>
        <v/>
      </c>
      <c r="AW25" s="12" t="n">
        <f aca="false">IF(AR25=2,AP25,"")</f>
        <v>3.8</v>
      </c>
      <c r="AX25" s="12" t="str">
        <f aca="false">IF(AR25=1,AQ25,"")</f>
        <v/>
      </c>
      <c r="AY25" s="12" t="n">
        <f aca="false">IF(AR25=2,AQ25,"")</f>
        <v>1.875</v>
      </c>
    </row>
    <row r="26" customFormat="false" ht="15" hidden="false" customHeight="true" outlineLevel="0" collapsed="false">
      <c r="A26" s="10" t="n">
        <v>24</v>
      </c>
      <c r="B26" s="10" t="n">
        <v>2</v>
      </c>
      <c r="C26" s="10" t="n">
        <v>1</v>
      </c>
      <c r="D26" s="10" t="n">
        <v>13</v>
      </c>
      <c r="E26" s="10" t="n">
        <v>3</v>
      </c>
      <c r="F26" s="10" t="n">
        <v>2</v>
      </c>
      <c r="G26" s="10" t="n">
        <v>2</v>
      </c>
      <c r="H26" s="10" t="n">
        <v>4</v>
      </c>
      <c r="I26" s="10" t="n">
        <v>4</v>
      </c>
      <c r="J26" s="10" t="n">
        <v>4</v>
      </c>
      <c r="K26" s="10" t="n">
        <v>5</v>
      </c>
      <c r="L26" s="10" t="n">
        <v>2</v>
      </c>
      <c r="M26" s="10" t="n">
        <v>5</v>
      </c>
      <c r="N26" s="10" t="n">
        <v>5</v>
      </c>
      <c r="O26" s="10" t="n">
        <v>5</v>
      </c>
      <c r="P26" s="10" t="n">
        <v>3</v>
      </c>
      <c r="Q26" s="10" t="n">
        <v>4</v>
      </c>
      <c r="R26" s="10" t="n">
        <v>3</v>
      </c>
      <c r="S26" s="10" t="n">
        <v>4</v>
      </c>
      <c r="T26" s="10" t="n">
        <v>2</v>
      </c>
      <c r="U26" s="10" t="n">
        <v>3</v>
      </c>
      <c r="V26" s="10" t="n">
        <v>5</v>
      </c>
      <c r="W26" s="10" t="n">
        <v>1</v>
      </c>
      <c r="X26" s="10" t="n">
        <v>5</v>
      </c>
      <c r="Y26" s="10" t="n">
        <v>3</v>
      </c>
      <c r="Z26" s="10" t="n">
        <v>3</v>
      </c>
      <c r="AA26" s="10" t="n">
        <v>4</v>
      </c>
      <c r="AB26" s="10" t="n">
        <v>3</v>
      </c>
      <c r="AC26" s="10" t="n">
        <v>4</v>
      </c>
      <c r="AD26" s="10" t="n">
        <v>3</v>
      </c>
      <c r="AE26" s="10" t="n">
        <v>3</v>
      </c>
      <c r="AF26" s="10" t="n">
        <v>4</v>
      </c>
      <c r="AG26" s="10" t="n">
        <v>3</v>
      </c>
      <c r="AH26" s="11" t="n">
        <f aca="false">IF(V26="","",6-V26)</f>
        <v>1</v>
      </c>
      <c r="AI26" s="11" t="n">
        <f aca="false">IF(W26="","",6-W26)</f>
        <v>5</v>
      </c>
      <c r="AJ26" s="11" t="n">
        <f aca="false">IF(X26="","",6-X26)</f>
        <v>1</v>
      </c>
      <c r="AK26" s="11" t="n">
        <f aca="false">IF(Y26="","",6-Y26)</f>
        <v>3</v>
      </c>
      <c r="AL26" s="11" t="n">
        <f aca="false">IF(COUNT(H26:O26)=8,SUM(H26:O26),"")</f>
        <v>34</v>
      </c>
      <c r="AM26" s="11" t="n">
        <f aca="false">IF(COUNT(P26:U26,AH26:AK26)=10,SUM(P26:U26,AH26:AK26),"")</f>
        <v>29</v>
      </c>
      <c r="AN26" s="11" t="n">
        <f aca="false">IF(COUNT(Z26:AG26)=8,SUM(Z26:AG26),"")</f>
        <v>27</v>
      </c>
      <c r="AO26" s="12" t="n">
        <f aca="false">IF(AL26="","",AL26/8)</f>
        <v>4.25</v>
      </c>
      <c r="AP26" s="12" t="n">
        <f aca="false">IF(AM26="","",AM26/10)</f>
        <v>2.9</v>
      </c>
      <c r="AQ26" s="12" t="n">
        <f aca="false">IF(AN26="","",AN26/8)</f>
        <v>3.375</v>
      </c>
      <c r="AR26" s="11" t="n">
        <f aca="false">IF(A26="","",IF(OR(F26=1,G26=1,AND(E26&lt;&gt;"",E26&lt;=2)),2,IF(AND(E26&gt;=3,G26=2,OR(F26=2,F26=3)),1,"")))</f>
        <v>1</v>
      </c>
      <c r="AS26" s="11" t="str">
        <f aca="false">IF(AR26=1,"טיפוסי",IF(AR26=2,"מתקשה",""))</f>
        <v>טיפוסי</v>
      </c>
      <c r="AT26" s="12" t="n">
        <f aca="false">IF(AR26=1,AO26,"")</f>
        <v>4.25</v>
      </c>
      <c r="AU26" s="12" t="str">
        <f aca="false">IF(AR26=2,AO26,"")</f>
        <v/>
      </c>
      <c r="AV26" s="12" t="n">
        <f aca="false">IF(AR26=1,AP26,"")</f>
        <v>2.9</v>
      </c>
      <c r="AW26" s="12" t="str">
        <f aca="false">IF(AR26=2,AP26,"")</f>
        <v/>
      </c>
      <c r="AX26" s="12" t="n">
        <f aca="false">IF(AR26=1,AQ26,"")</f>
        <v>3.375</v>
      </c>
      <c r="AY26" s="12" t="str">
        <f aca="false">IF(AR26=2,AQ26,"")</f>
        <v/>
      </c>
    </row>
    <row r="27" customFormat="false" ht="15" hidden="false" customHeight="true" outlineLevel="0" collapsed="false">
      <c r="A27" s="10" t="n">
        <v>25</v>
      </c>
      <c r="B27" s="10" t="n">
        <v>1</v>
      </c>
      <c r="C27" s="10" t="n">
        <v>3</v>
      </c>
      <c r="D27" s="10" t="n">
        <v>14</v>
      </c>
      <c r="E27" s="10" t="n">
        <v>4</v>
      </c>
      <c r="F27" s="10" t="n">
        <v>1</v>
      </c>
      <c r="G27" s="10" t="n">
        <v>2</v>
      </c>
      <c r="H27" s="10" t="n">
        <v>3</v>
      </c>
      <c r="I27" s="10" t="n">
        <v>2</v>
      </c>
      <c r="J27" s="10" t="n">
        <v>2</v>
      </c>
      <c r="K27" s="10" t="n">
        <v>3</v>
      </c>
      <c r="L27" s="10" t="n">
        <v>3</v>
      </c>
      <c r="M27" s="10" t="n">
        <v>3</v>
      </c>
      <c r="N27" s="10" t="n">
        <v>4</v>
      </c>
      <c r="O27" s="10" t="n">
        <v>4</v>
      </c>
      <c r="P27" s="10" t="n">
        <v>2</v>
      </c>
      <c r="Q27" s="10" t="n">
        <v>3</v>
      </c>
      <c r="R27" s="10" t="n">
        <v>2</v>
      </c>
      <c r="S27" s="10" t="n">
        <v>3</v>
      </c>
      <c r="T27" s="10" t="n">
        <v>2</v>
      </c>
      <c r="U27" s="10" t="n">
        <v>2</v>
      </c>
      <c r="V27" s="10" t="n">
        <v>5</v>
      </c>
      <c r="W27" s="10" t="n">
        <v>4</v>
      </c>
      <c r="X27" s="10" t="n">
        <v>2</v>
      </c>
      <c r="Y27" s="10" t="n">
        <v>3</v>
      </c>
      <c r="Z27" s="10" t="n">
        <v>4</v>
      </c>
      <c r="AA27" s="10" t="n">
        <v>2</v>
      </c>
      <c r="AB27" s="10" t="n">
        <v>4</v>
      </c>
      <c r="AC27" s="10" t="n">
        <v>5</v>
      </c>
      <c r="AD27" s="10" t="n">
        <v>2</v>
      </c>
      <c r="AE27" s="10" t="n">
        <v>4</v>
      </c>
      <c r="AF27" s="10" t="n">
        <v>4</v>
      </c>
      <c r="AG27" s="10" t="n">
        <v>5</v>
      </c>
      <c r="AH27" s="11" t="n">
        <f aca="false">IF(V27="","",6-V27)</f>
        <v>1</v>
      </c>
      <c r="AI27" s="11" t="n">
        <f aca="false">IF(W27="","",6-W27)</f>
        <v>2</v>
      </c>
      <c r="AJ27" s="11" t="n">
        <f aca="false">IF(X27="","",6-X27)</f>
        <v>4</v>
      </c>
      <c r="AK27" s="11" t="n">
        <f aca="false">IF(Y27="","",6-Y27)</f>
        <v>3</v>
      </c>
      <c r="AL27" s="11" t="n">
        <f aca="false">IF(COUNT(H27:O27)=8,SUM(H27:O27),"")</f>
        <v>24</v>
      </c>
      <c r="AM27" s="11" t="n">
        <f aca="false">IF(COUNT(P27:U27,AH27:AK27)=10,SUM(P27:U27,AH27:AK27),"")</f>
        <v>24</v>
      </c>
      <c r="AN27" s="11" t="n">
        <f aca="false">IF(COUNT(Z27:AG27)=8,SUM(Z27:AG27),"")</f>
        <v>30</v>
      </c>
      <c r="AO27" s="12" t="n">
        <f aca="false">IF(AL27="","",AL27/8)</f>
        <v>3</v>
      </c>
      <c r="AP27" s="12" t="n">
        <f aca="false">IF(AM27="","",AM27/10)</f>
        <v>2.4</v>
      </c>
      <c r="AQ27" s="12" t="n">
        <f aca="false">IF(AN27="","",AN27/8)</f>
        <v>3.75</v>
      </c>
      <c r="AR27" s="11" t="n">
        <f aca="false">IF(A27="","",IF(OR(F27=1,G27=1,AND(E27&lt;&gt;"",E27&lt;=2)),2,IF(AND(E27&gt;=3,G27=2,OR(F27=2,F27=3)),1,"")))</f>
        <v>2</v>
      </c>
      <c r="AS27" s="11" t="str">
        <f aca="false">IF(AR27=1,"טיפוסי",IF(AR27=2,"מתקשה",""))</f>
        <v>מתקשה</v>
      </c>
      <c r="AT27" s="12" t="str">
        <f aca="false">IF(AR27=1,AO27,"")</f>
        <v/>
      </c>
      <c r="AU27" s="12" t="n">
        <f aca="false">IF(AR27=2,AO27,"")</f>
        <v>3</v>
      </c>
      <c r="AV27" s="12" t="str">
        <f aca="false">IF(AR27=1,AP27,"")</f>
        <v/>
      </c>
      <c r="AW27" s="12" t="n">
        <f aca="false">IF(AR27=2,AP27,"")</f>
        <v>2.4</v>
      </c>
      <c r="AX27" s="12" t="str">
        <f aca="false">IF(AR27=1,AQ27,"")</f>
        <v/>
      </c>
      <c r="AY27" s="12" t="n">
        <f aca="false">IF(AR27=2,AQ27,"")</f>
        <v>3.75</v>
      </c>
    </row>
    <row r="28" customFormat="false" ht="15" hidden="false" customHeight="true" outlineLevel="0" collapsed="false">
      <c r="A28" s="10" t="n">
        <v>26</v>
      </c>
      <c r="B28" s="10" t="n">
        <v>1</v>
      </c>
      <c r="C28" s="10" t="n">
        <v>2</v>
      </c>
      <c r="D28" s="10" t="n">
        <v>13</v>
      </c>
      <c r="E28" s="10" t="n">
        <v>3</v>
      </c>
      <c r="F28" s="10" t="n">
        <v>2</v>
      </c>
      <c r="G28" s="10" t="n">
        <v>2</v>
      </c>
      <c r="H28" s="10" t="n">
        <v>3</v>
      </c>
      <c r="I28" s="10" t="n">
        <v>3</v>
      </c>
      <c r="J28" s="10" t="n">
        <v>3</v>
      </c>
      <c r="K28" s="10" t="n">
        <v>2</v>
      </c>
      <c r="L28" s="10" t="n">
        <v>5</v>
      </c>
      <c r="M28" s="10" t="n">
        <v>3</v>
      </c>
      <c r="N28" s="10" t="n">
        <v>4</v>
      </c>
      <c r="O28" s="10" t="n">
        <v>4</v>
      </c>
      <c r="P28" s="10" t="n">
        <v>5</v>
      </c>
      <c r="Q28" s="10" t="n">
        <v>4</v>
      </c>
      <c r="R28" s="10" t="n">
        <v>2</v>
      </c>
      <c r="S28" s="10" t="n">
        <v>5</v>
      </c>
      <c r="T28" s="10" t="n">
        <v>5</v>
      </c>
      <c r="U28" s="10" t="n">
        <v>4</v>
      </c>
      <c r="V28" s="10" t="n">
        <v>3</v>
      </c>
      <c r="W28" s="10" t="n">
        <v>2</v>
      </c>
      <c r="X28" s="10" t="n">
        <v>4</v>
      </c>
      <c r="Y28" s="10" t="n">
        <v>1</v>
      </c>
      <c r="Z28" s="10" t="n">
        <v>4</v>
      </c>
      <c r="AA28" s="10" t="n">
        <v>4</v>
      </c>
      <c r="AB28" s="10" t="n">
        <v>3</v>
      </c>
      <c r="AC28" s="10" t="n">
        <v>4</v>
      </c>
      <c r="AD28" s="10" t="n">
        <v>3</v>
      </c>
      <c r="AE28" s="10" t="n">
        <v>3</v>
      </c>
      <c r="AF28" s="10" t="n">
        <v>3</v>
      </c>
      <c r="AG28" s="10" t="n">
        <v>3</v>
      </c>
      <c r="AH28" s="11" t="n">
        <f aca="false">IF(V28="","",6-V28)</f>
        <v>3</v>
      </c>
      <c r="AI28" s="11" t="n">
        <f aca="false">IF(W28="","",6-W28)</f>
        <v>4</v>
      </c>
      <c r="AJ28" s="11" t="n">
        <f aca="false">IF(X28="","",6-X28)</f>
        <v>2</v>
      </c>
      <c r="AK28" s="11" t="n">
        <f aca="false">IF(Y28="","",6-Y28)</f>
        <v>5</v>
      </c>
      <c r="AL28" s="11" t="n">
        <f aca="false">IF(COUNT(H28:O28)=8,SUM(H28:O28),"")</f>
        <v>27</v>
      </c>
      <c r="AM28" s="11" t="n">
        <f aca="false">IF(COUNT(P28:U28,AH28:AK28)=10,SUM(P28:U28,AH28:AK28),"")</f>
        <v>39</v>
      </c>
      <c r="AN28" s="11" t="n">
        <f aca="false">IF(COUNT(Z28:AG28)=8,SUM(Z28:AG28),"")</f>
        <v>27</v>
      </c>
      <c r="AO28" s="12" t="n">
        <f aca="false">IF(AL28="","",AL28/8)</f>
        <v>3.375</v>
      </c>
      <c r="AP28" s="12" t="n">
        <f aca="false">IF(AM28="","",AM28/10)</f>
        <v>3.9</v>
      </c>
      <c r="AQ28" s="12" t="n">
        <f aca="false">IF(AN28="","",AN28/8)</f>
        <v>3.375</v>
      </c>
      <c r="AR28" s="11" t="n">
        <f aca="false">IF(A28="","",IF(OR(F28=1,G28=1,AND(E28&lt;&gt;"",E28&lt;=2)),2,IF(AND(E28&gt;=3,G28=2,OR(F28=2,F28=3)),1,"")))</f>
        <v>1</v>
      </c>
      <c r="AS28" s="11" t="str">
        <f aca="false">IF(AR28=1,"טיפוסי",IF(AR28=2,"מתקשה",""))</f>
        <v>טיפוסי</v>
      </c>
      <c r="AT28" s="12" t="n">
        <f aca="false">IF(AR28=1,AO28,"")</f>
        <v>3.375</v>
      </c>
      <c r="AU28" s="12" t="str">
        <f aca="false">IF(AR28=2,AO28,"")</f>
        <v/>
      </c>
      <c r="AV28" s="12" t="n">
        <f aca="false">IF(AR28=1,AP28,"")</f>
        <v>3.9</v>
      </c>
      <c r="AW28" s="12" t="str">
        <f aca="false">IF(AR28=2,AP28,"")</f>
        <v/>
      </c>
      <c r="AX28" s="12" t="n">
        <f aca="false">IF(AR28=1,AQ28,"")</f>
        <v>3.375</v>
      </c>
      <c r="AY28" s="12" t="str">
        <f aca="false">IF(AR28=2,AQ28,"")</f>
        <v/>
      </c>
    </row>
    <row r="29" customFormat="false" ht="15" hidden="false" customHeight="true" outlineLevel="0" collapsed="false">
      <c r="A29" s="10" t="n">
        <v>27</v>
      </c>
      <c r="B29" s="10" t="n">
        <v>2</v>
      </c>
      <c r="C29" s="10" t="n">
        <v>3</v>
      </c>
      <c r="D29" s="10" t="n">
        <v>15</v>
      </c>
      <c r="E29" s="10" t="n">
        <v>3</v>
      </c>
      <c r="F29" s="10" t="n">
        <v>2</v>
      </c>
      <c r="G29" s="10" t="n">
        <v>2</v>
      </c>
      <c r="H29" s="10" t="n">
        <v>3</v>
      </c>
      <c r="I29" s="10" t="n">
        <v>4</v>
      </c>
      <c r="J29" s="10" t="n">
        <v>3</v>
      </c>
      <c r="K29" s="10" t="n">
        <v>3</v>
      </c>
      <c r="L29" s="10" t="n">
        <v>2</v>
      </c>
      <c r="M29" s="10" t="n">
        <v>4</v>
      </c>
      <c r="N29" s="10" t="n">
        <v>2</v>
      </c>
      <c r="O29" s="10" t="n">
        <v>3</v>
      </c>
      <c r="P29" s="10" t="n">
        <v>3</v>
      </c>
      <c r="Q29" s="10" t="n">
        <v>2</v>
      </c>
      <c r="R29" s="10" t="n">
        <v>2</v>
      </c>
      <c r="S29" s="10" t="n">
        <v>3</v>
      </c>
      <c r="T29" s="10" t="n">
        <v>1</v>
      </c>
      <c r="U29" s="10" t="n">
        <v>1</v>
      </c>
      <c r="V29" s="10" t="n">
        <v>4</v>
      </c>
      <c r="W29" s="10" t="n">
        <v>4</v>
      </c>
      <c r="X29" s="10" t="n">
        <v>4</v>
      </c>
      <c r="Y29" s="10" t="n">
        <v>3</v>
      </c>
      <c r="Z29" s="10" t="n">
        <v>3</v>
      </c>
      <c r="AA29" s="10" t="n">
        <v>3</v>
      </c>
      <c r="AB29" s="10" t="n">
        <v>3</v>
      </c>
      <c r="AC29" s="10" t="n">
        <v>3</v>
      </c>
      <c r="AD29" s="10" t="n">
        <v>4</v>
      </c>
      <c r="AE29" s="10" t="n">
        <v>5</v>
      </c>
      <c r="AF29" s="10" t="n">
        <v>3</v>
      </c>
      <c r="AG29" s="10" t="n">
        <v>3</v>
      </c>
      <c r="AH29" s="11" t="n">
        <f aca="false">IF(V29="","",6-V29)</f>
        <v>2</v>
      </c>
      <c r="AI29" s="11" t="n">
        <f aca="false">IF(W29="","",6-W29)</f>
        <v>2</v>
      </c>
      <c r="AJ29" s="11" t="n">
        <f aca="false">IF(X29="","",6-X29)</f>
        <v>2</v>
      </c>
      <c r="AK29" s="11" t="n">
        <f aca="false">IF(Y29="","",6-Y29)</f>
        <v>3</v>
      </c>
      <c r="AL29" s="11" t="n">
        <f aca="false">IF(COUNT(H29:O29)=8,SUM(H29:O29),"")</f>
        <v>24</v>
      </c>
      <c r="AM29" s="11" t="n">
        <f aca="false">IF(COUNT(P29:U29,AH29:AK29)=10,SUM(P29:U29,AH29:AK29),"")</f>
        <v>21</v>
      </c>
      <c r="AN29" s="11" t="n">
        <f aca="false">IF(COUNT(Z29:AG29)=8,SUM(Z29:AG29),"")</f>
        <v>27</v>
      </c>
      <c r="AO29" s="12" t="n">
        <f aca="false">IF(AL29="","",AL29/8)</f>
        <v>3</v>
      </c>
      <c r="AP29" s="12" t="n">
        <f aca="false">IF(AM29="","",AM29/10)</f>
        <v>2.1</v>
      </c>
      <c r="AQ29" s="12" t="n">
        <f aca="false">IF(AN29="","",AN29/8)</f>
        <v>3.375</v>
      </c>
      <c r="AR29" s="11" t="n">
        <f aca="false">IF(A29="","",IF(OR(F29=1,G29=1,AND(E29&lt;&gt;"",E29&lt;=2)),2,IF(AND(E29&gt;=3,G29=2,OR(F29=2,F29=3)),1,"")))</f>
        <v>1</v>
      </c>
      <c r="AS29" s="11" t="str">
        <f aca="false">IF(AR29=1,"טיפוסי",IF(AR29=2,"מתקשה",""))</f>
        <v>טיפוסי</v>
      </c>
      <c r="AT29" s="12" t="n">
        <f aca="false">IF(AR29=1,AO29,"")</f>
        <v>3</v>
      </c>
      <c r="AU29" s="12" t="str">
        <f aca="false">IF(AR29=2,AO29,"")</f>
        <v/>
      </c>
      <c r="AV29" s="12" t="n">
        <f aca="false">IF(AR29=1,AP29,"")</f>
        <v>2.1</v>
      </c>
      <c r="AW29" s="12" t="str">
        <f aca="false">IF(AR29=2,AP29,"")</f>
        <v/>
      </c>
      <c r="AX29" s="12" t="n">
        <f aca="false">IF(AR29=1,AQ29,"")</f>
        <v>3.375</v>
      </c>
      <c r="AY29" s="12" t="str">
        <f aca="false">IF(AR29=2,AQ29,"")</f>
        <v/>
      </c>
    </row>
    <row r="30" customFormat="false" ht="15" hidden="false" customHeight="true" outlineLevel="0" collapsed="false">
      <c r="A30" s="10" t="n">
        <v>28</v>
      </c>
      <c r="B30" s="10" t="n">
        <v>2</v>
      </c>
      <c r="C30" s="10" t="n">
        <v>1</v>
      </c>
      <c r="D30" s="10" t="n">
        <v>12</v>
      </c>
      <c r="E30" s="10" t="n">
        <v>4</v>
      </c>
      <c r="F30" s="10" t="n">
        <v>2</v>
      </c>
      <c r="G30" s="10" t="n">
        <v>2</v>
      </c>
      <c r="H30" s="10" t="n">
        <v>2</v>
      </c>
      <c r="I30" s="10" t="n">
        <v>4</v>
      </c>
      <c r="J30" s="10" t="n">
        <v>1</v>
      </c>
      <c r="K30" s="10" t="n">
        <v>1</v>
      </c>
      <c r="L30" s="10" t="n">
        <v>3</v>
      </c>
      <c r="M30" s="10" t="n">
        <v>1</v>
      </c>
      <c r="N30" s="10" t="n">
        <v>2</v>
      </c>
      <c r="O30" s="10" t="n">
        <v>3</v>
      </c>
      <c r="P30" s="10" t="n">
        <v>3</v>
      </c>
      <c r="Q30" s="10" t="n">
        <v>4</v>
      </c>
      <c r="R30" s="10" t="n">
        <v>2</v>
      </c>
      <c r="S30" s="10" t="n">
        <v>4</v>
      </c>
      <c r="T30" s="10" t="n">
        <v>3</v>
      </c>
      <c r="U30" s="10" t="n">
        <v>3</v>
      </c>
      <c r="V30" s="10" t="n">
        <v>3</v>
      </c>
      <c r="W30" s="10" t="n">
        <v>2</v>
      </c>
      <c r="X30" s="10" t="n">
        <v>5</v>
      </c>
      <c r="Y30" s="10" t="n">
        <v>2</v>
      </c>
      <c r="Z30" s="10" t="n">
        <v>3</v>
      </c>
      <c r="AA30" s="10" t="n">
        <v>3</v>
      </c>
      <c r="AB30" s="10" t="n">
        <v>3</v>
      </c>
      <c r="AC30" s="10" t="n">
        <v>3</v>
      </c>
      <c r="AD30" s="10" t="n">
        <v>3</v>
      </c>
      <c r="AE30" s="10" t="n">
        <v>4</v>
      </c>
      <c r="AF30" s="10" t="n">
        <v>3</v>
      </c>
      <c r="AG30" s="10" t="n">
        <v>3</v>
      </c>
      <c r="AH30" s="11" t="n">
        <f aca="false">IF(V30="","",6-V30)</f>
        <v>3</v>
      </c>
      <c r="AI30" s="11" t="n">
        <f aca="false">IF(W30="","",6-W30)</f>
        <v>4</v>
      </c>
      <c r="AJ30" s="11" t="n">
        <f aca="false">IF(X30="","",6-X30)</f>
        <v>1</v>
      </c>
      <c r="AK30" s="11" t="n">
        <f aca="false">IF(Y30="","",6-Y30)</f>
        <v>4</v>
      </c>
      <c r="AL30" s="11" t="n">
        <f aca="false">IF(COUNT(H30:O30)=8,SUM(H30:O30),"")</f>
        <v>17</v>
      </c>
      <c r="AM30" s="11" t="n">
        <f aca="false">IF(COUNT(P30:U30,AH30:AK30)=10,SUM(P30:U30,AH30:AK30),"")</f>
        <v>31</v>
      </c>
      <c r="AN30" s="11" t="n">
        <f aca="false">IF(COUNT(Z30:AG30)=8,SUM(Z30:AG30),"")</f>
        <v>25</v>
      </c>
      <c r="AO30" s="12" t="n">
        <f aca="false">IF(AL30="","",AL30/8)</f>
        <v>2.125</v>
      </c>
      <c r="AP30" s="12" t="n">
        <f aca="false">IF(AM30="","",AM30/10)</f>
        <v>3.1</v>
      </c>
      <c r="AQ30" s="12" t="n">
        <f aca="false">IF(AN30="","",AN30/8)</f>
        <v>3.125</v>
      </c>
      <c r="AR30" s="11" t="n">
        <f aca="false">IF(A30="","",IF(OR(F30=1,G30=1,AND(E30&lt;&gt;"",E30&lt;=2)),2,IF(AND(E30&gt;=3,G30=2,OR(F30=2,F30=3)),1,"")))</f>
        <v>1</v>
      </c>
      <c r="AS30" s="11" t="str">
        <f aca="false">IF(AR30=1,"טיפוסי",IF(AR30=2,"מתקשה",""))</f>
        <v>טיפוסי</v>
      </c>
      <c r="AT30" s="12" t="n">
        <f aca="false">IF(AR30=1,AO30,"")</f>
        <v>2.125</v>
      </c>
      <c r="AU30" s="12" t="str">
        <f aca="false">IF(AR30=2,AO30,"")</f>
        <v/>
      </c>
      <c r="AV30" s="12" t="n">
        <f aca="false">IF(AR30=1,AP30,"")</f>
        <v>3.1</v>
      </c>
      <c r="AW30" s="12" t="str">
        <f aca="false">IF(AR30=2,AP30,"")</f>
        <v/>
      </c>
      <c r="AX30" s="12" t="n">
        <f aca="false">IF(AR30=1,AQ30,"")</f>
        <v>3.125</v>
      </c>
      <c r="AY30" s="12" t="str">
        <f aca="false">IF(AR30=2,AQ30,"")</f>
        <v/>
      </c>
    </row>
    <row r="31" customFormat="false" ht="15" hidden="false" customHeight="true" outlineLevel="0" collapsed="false">
      <c r="A31" s="10" t="n">
        <v>29</v>
      </c>
      <c r="B31" s="10" t="n">
        <v>2</v>
      </c>
      <c r="C31" s="10" t="n">
        <v>3</v>
      </c>
      <c r="D31" s="10" t="n">
        <v>15</v>
      </c>
      <c r="E31" s="10" t="n">
        <v>3</v>
      </c>
      <c r="F31" s="10" t="n">
        <v>2</v>
      </c>
      <c r="G31" s="10" t="n">
        <v>2</v>
      </c>
      <c r="H31" s="10" t="n">
        <v>4</v>
      </c>
      <c r="I31" s="10" t="n">
        <v>3</v>
      </c>
      <c r="J31" s="10" t="n">
        <v>1</v>
      </c>
      <c r="K31" s="10" t="n">
        <v>5</v>
      </c>
      <c r="L31" s="10" t="n">
        <v>2</v>
      </c>
      <c r="M31" s="10" t="n">
        <v>3</v>
      </c>
      <c r="N31" s="10" t="n">
        <v>3</v>
      </c>
      <c r="O31" s="10" t="n">
        <v>4</v>
      </c>
      <c r="P31" s="10" t="n">
        <v>4</v>
      </c>
      <c r="Q31" s="10" t="n">
        <v>4</v>
      </c>
      <c r="R31" s="10" t="n">
        <v>4</v>
      </c>
      <c r="S31" s="10" t="n">
        <v>4</v>
      </c>
      <c r="T31" s="10" t="n">
        <v>2</v>
      </c>
      <c r="U31" s="10" t="n">
        <v>4</v>
      </c>
      <c r="V31" s="10" t="n">
        <v>1</v>
      </c>
      <c r="W31" s="10" t="n">
        <v>2</v>
      </c>
      <c r="X31" s="10" t="n">
        <v>1</v>
      </c>
      <c r="Y31" s="10" t="n">
        <v>1</v>
      </c>
      <c r="Z31" s="10" t="n">
        <v>4</v>
      </c>
      <c r="AA31" s="10" t="n">
        <v>3</v>
      </c>
      <c r="AB31" s="10" t="n">
        <v>4</v>
      </c>
      <c r="AC31" s="10" t="n">
        <v>5</v>
      </c>
      <c r="AD31" s="10" t="n">
        <v>3</v>
      </c>
      <c r="AE31" s="10" t="n">
        <v>4</v>
      </c>
      <c r="AF31" s="10" t="n">
        <v>5</v>
      </c>
      <c r="AG31" s="10" t="n">
        <v>4</v>
      </c>
      <c r="AH31" s="11" t="n">
        <f aca="false">IF(V31="","",6-V31)</f>
        <v>5</v>
      </c>
      <c r="AI31" s="11" t="n">
        <f aca="false">IF(W31="","",6-W31)</f>
        <v>4</v>
      </c>
      <c r="AJ31" s="11" t="n">
        <f aca="false">IF(X31="","",6-X31)</f>
        <v>5</v>
      </c>
      <c r="AK31" s="11" t="n">
        <f aca="false">IF(Y31="","",6-Y31)</f>
        <v>5</v>
      </c>
      <c r="AL31" s="11" t="n">
        <f aca="false">IF(COUNT(H31:O31)=8,SUM(H31:O31),"")</f>
        <v>25</v>
      </c>
      <c r="AM31" s="11" t="n">
        <f aca="false">IF(COUNT(P31:U31,AH31:AK31)=10,SUM(P31:U31,AH31:AK31),"")</f>
        <v>41</v>
      </c>
      <c r="AN31" s="11" t="n">
        <f aca="false">IF(COUNT(Z31:AG31)=8,SUM(Z31:AG31),"")</f>
        <v>32</v>
      </c>
      <c r="AO31" s="12" t="n">
        <f aca="false">IF(AL31="","",AL31/8)</f>
        <v>3.125</v>
      </c>
      <c r="AP31" s="12" t="n">
        <f aca="false">IF(AM31="","",AM31/10)</f>
        <v>4.1</v>
      </c>
      <c r="AQ31" s="12" t="n">
        <f aca="false">IF(AN31="","",AN31/8)</f>
        <v>4</v>
      </c>
      <c r="AR31" s="11" t="n">
        <f aca="false">IF(A31="","",IF(OR(F31=1,G31=1,AND(E31&lt;&gt;"",E31&lt;=2)),2,IF(AND(E31&gt;=3,G31=2,OR(F31=2,F31=3)),1,"")))</f>
        <v>1</v>
      </c>
      <c r="AS31" s="11" t="str">
        <f aca="false">IF(AR31=1,"טיפוסי",IF(AR31=2,"מתקשה",""))</f>
        <v>טיפוסי</v>
      </c>
      <c r="AT31" s="12" t="n">
        <f aca="false">IF(AR31=1,AO31,"")</f>
        <v>3.125</v>
      </c>
      <c r="AU31" s="12" t="str">
        <f aca="false">IF(AR31=2,AO31,"")</f>
        <v/>
      </c>
      <c r="AV31" s="12" t="n">
        <f aca="false">IF(AR31=1,AP31,"")</f>
        <v>4.1</v>
      </c>
      <c r="AW31" s="12" t="str">
        <f aca="false">IF(AR31=2,AP31,"")</f>
        <v/>
      </c>
      <c r="AX31" s="12" t="n">
        <f aca="false">IF(AR31=1,AQ31,"")</f>
        <v>4</v>
      </c>
      <c r="AY31" s="12" t="str">
        <f aca="false">IF(AR31=2,AQ31,"")</f>
        <v/>
      </c>
    </row>
    <row r="32" customFormat="false" ht="15" hidden="false" customHeight="true" outlineLevel="0" collapsed="false">
      <c r="A32" s="10" t="n">
        <v>30</v>
      </c>
      <c r="B32" s="10" t="n">
        <v>2</v>
      </c>
      <c r="C32" s="10" t="n">
        <v>1</v>
      </c>
      <c r="D32" s="10" t="n">
        <v>13</v>
      </c>
      <c r="E32" s="10" t="n">
        <v>4</v>
      </c>
      <c r="F32" s="10" t="n">
        <v>1</v>
      </c>
      <c r="G32" s="10" t="n">
        <v>1</v>
      </c>
      <c r="H32" s="10" t="n">
        <v>3</v>
      </c>
      <c r="I32" s="10" t="n">
        <v>3</v>
      </c>
      <c r="J32" s="10" t="n">
        <v>3</v>
      </c>
      <c r="K32" s="10" t="n">
        <v>2</v>
      </c>
      <c r="L32" s="10" t="n">
        <v>3</v>
      </c>
      <c r="M32" s="10" t="n">
        <v>3</v>
      </c>
      <c r="N32" s="10" t="n">
        <v>3</v>
      </c>
      <c r="O32" s="10" t="n">
        <v>3</v>
      </c>
      <c r="P32" s="10" t="n">
        <v>3</v>
      </c>
      <c r="Q32" s="10" t="n">
        <v>4</v>
      </c>
      <c r="R32" s="10" t="n">
        <v>3</v>
      </c>
      <c r="S32" s="10" t="n">
        <v>4</v>
      </c>
      <c r="T32" s="10" t="n">
        <v>3</v>
      </c>
      <c r="U32" s="10" t="n">
        <v>5</v>
      </c>
      <c r="V32" s="10" t="n">
        <v>4</v>
      </c>
      <c r="W32" s="10" t="n">
        <v>5</v>
      </c>
      <c r="X32" s="10" t="n">
        <v>3</v>
      </c>
      <c r="Y32" s="10" t="n">
        <v>3</v>
      </c>
      <c r="Z32" s="10" t="n">
        <v>3</v>
      </c>
      <c r="AA32" s="10" t="n">
        <v>3</v>
      </c>
      <c r="AB32" s="10" t="n">
        <v>2</v>
      </c>
      <c r="AC32" s="10" t="n">
        <v>4</v>
      </c>
      <c r="AD32" s="10" t="n">
        <v>3</v>
      </c>
      <c r="AE32" s="10" t="n">
        <v>4</v>
      </c>
      <c r="AF32" s="10" t="n">
        <v>3</v>
      </c>
      <c r="AG32" s="10" t="n">
        <v>3</v>
      </c>
      <c r="AH32" s="11" t="n">
        <f aca="false">IF(V32="","",6-V32)</f>
        <v>2</v>
      </c>
      <c r="AI32" s="11" t="n">
        <f aca="false">IF(W32="","",6-W32)</f>
        <v>1</v>
      </c>
      <c r="AJ32" s="11" t="n">
        <f aca="false">IF(X32="","",6-X32)</f>
        <v>3</v>
      </c>
      <c r="AK32" s="11" t="n">
        <f aca="false">IF(Y32="","",6-Y32)</f>
        <v>3</v>
      </c>
      <c r="AL32" s="11" t="n">
        <f aca="false">IF(COUNT(H32:O32)=8,SUM(H32:O32),"")</f>
        <v>23</v>
      </c>
      <c r="AM32" s="11" t="n">
        <f aca="false">IF(COUNT(P32:U32,AH32:AK32)=10,SUM(P32:U32,AH32:AK32),"")</f>
        <v>31</v>
      </c>
      <c r="AN32" s="11" t="n">
        <f aca="false">IF(COUNT(Z32:AG32)=8,SUM(Z32:AG32),"")</f>
        <v>25</v>
      </c>
      <c r="AO32" s="12" t="n">
        <f aca="false">IF(AL32="","",AL32/8)</f>
        <v>2.875</v>
      </c>
      <c r="AP32" s="12" t="n">
        <f aca="false">IF(AM32="","",AM32/10)</f>
        <v>3.1</v>
      </c>
      <c r="AQ32" s="12" t="n">
        <f aca="false">IF(AN32="","",AN32/8)</f>
        <v>3.125</v>
      </c>
      <c r="AR32" s="11" t="n">
        <f aca="false">IF(A32="","",IF(OR(F32=1,G32=1,AND(E32&lt;&gt;"",E32&lt;=2)),2,IF(AND(E32&gt;=3,G32=2,OR(F32=2,F32=3)),1,"")))</f>
        <v>2</v>
      </c>
      <c r="AS32" s="11" t="str">
        <f aca="false">IF(AR32=1,"טיפוסי",IF(AR32=2,"מתקשה",""))</f>
        <v>מתקשה</v>
      </c>
      <c r="AT32" s="12" t="str">
        <f aca="false">IF(AR32=1,AO32,"")</f>
        <v/>
      </c>
      <c r="AU32" s="12" t="n">
        <f aca="false">IF(AR32=2,AO32,"")</f>
        <v>2.875</v>
      </c>
      <c r="AV32" s="12" t="str">
        <f aca="false">IF(AR32=1,AP32,"")</f>
        <v/>
      </c>
      <c r="AW32" s="12" t="n">
        <f aca="false">IF(AR32=2,AP32,"")</f>
        <v>3.1</v>
      </c>
      <c r="AX32" s="12" t="str">
        <f aca="false">IF(AR32=1,AQ32,"")</f>
        <v/>
      </c>
      <c r="AY32" s="12" t="n">
        <f aca="false">IF(AR32=2,AQ32,"")</f>
        <v>3.125</v>
      </c>
    </row>
    <row r="33" customFormat="false" ht="15" hidden="false" customHeight="true" outlineLevel="0" collapsed="false">
      <c r="A33" s="10" t="n">
        <v>31</v>
      </c>
      <c r="B33" s="10" t="n">
        <v>1</v>
      </c>
      <c r="C33" s="10" t="n">
        <v>2</v>
      </c>
      <c r="D33" s="10" t="n">
        <v>13</v>
      </c>
      <c r="E33" s="10" t="n">
        <v>3</v>
      </c>
      <c r="F33" s="10" t="n">
        <v>2</v>
      </c>
      <c r="G33" s="10" t="n">
        <v>2</v>
      </c>
      <c r="H33" s="10" t="n">
        <v>2</v>
      </c>
      <c r="I33" s="10" t="n">
        <v>3</v>
      </c>
      <c r="J33" s="10" t="n">
        <v>3</v>
      </c>
      <c r="K33" s="10" t="n">
        <v>3</v>
      </c>
      <c r="L33" s="10" t="n">
        <v>3</v>
      </c>
      <c r="M33" s="10" t="n">
        <v>5</v>
      </c>
      <c r="N33" s="10" t="n">
        <v>2</v>
      </c>
      <c r="O33" s="10" t="n">
        <v>5</v>
      </c>
      <c r="P33" s="10" t="n">
        <v>5</v>
      </c>
      <c r="Q33" s="10" t="n">
        <v>2</v>
      </c>
      <c r="R33" s="10" t="n">
        <v>1</v>
      </c>
      <c r="S33" s="10" t="n">
        <v>4</v>
      </c>
      <c r="T33" s="10" t="n">
        <v>3</v>
      </c>
      <c r="U33" s="10" t="n">
        <v>2</v>
      </c>
      <c r="V33" s="10" t="n">
        <v>3</v>
      </c>
      <c r="W33" s="10" t="n">
        <v>3</v>
      </c>
      <c r="X33" s="10" t="n">
        <v>2</v>
      </c>
      <c r="Y33" s="10" t="n">
        <v>4</v>
      </c>
      <c r="Z33" s="10" t="n">
        <v>3</v>
      </c>
      <c r="AA33" s="10" t="n">
        <v>2</v>
      </c>
      <c r="AB33" s="10" t="n">
        <v>3</v>
      </c>
      <c r="AC33" s="10" t="n">
        <v>4</v>
      </c>
      <c r="AD33" s="10" t="n">
        <v>1</v>
      </c>
      <c r="AE33" s="10" t="n">
        <v>1</v>
      </c>
      <c r="AF33" s="10" t="n">
        <v>2</v>
      </c>
      <c r="AG33" s="10" t="n">
        <v>2</v>
      </c>
      <c r="AH33" s="11" t="n">
        <f aca="false">IF(V33="","",6-V33)</f>
        <v>3</v>
      </c>
      <c r="AI33" s="11" t="n">
        <f aca="false">IF(W33="","",6-W33)</f>
        <v>3</v>
      </c>
      <c r="AJ33" s="11" t="n">
        <f aca="false">IF(X33="","",6-X33)</f>
        <v>4</v>
      </c>
      <c r="AK33" s="11" t="n">
        <f aca="false">IF(Y33="","",6-Y33)</f>
        <v>2</v>
      </c>
      <c r="AL33" s="11" t="n">
        <f aca="false">IF(COUNT(H33:O33)=8,SUM(H33:O33),"")</f>
        <v>26</v>
      </c>
      <c r="AM33" s="11" t="n">
        <f aca="false">IF(COUNT(P33:U33,AH33:AK33)=10,SUM(P33:U33,AH33:AK33),"")</f>
        <v>29</v>
      </c>
      <c r="AN33" s="11" t="n">
        <f aca="false">IF(COUNT(Z33:AG33)=8,SUM(Z33:AG33),"")</f>
        <v>18</v>
      </c>
      <c r="AO33" s="12" t="n">
        <f aca="false">IF(AL33="","",AL33/8)</f>
        <v>3.25</v>
      </c>
      <c r="AP33" s="12" t="n">
        <f aca="false">IF(AM33="","",AM33/10)</f>
        <v>2.9</v>
      </c>
      <c r="AQ33" s="12" t="n">
        <f aca="false">IF(AN33="","",AN33/8)</f>
        <v>2.25</v>
      </c>
      <c r="AR33" s="11" t="n">
        <f aca="false">IF(A33="","",IF(OR(F33=1,G33=1,AND(E33&lt;&gt;"",E33&lt;=2)),2,IF(AND(E33&gt;=3,G33=2,OR(F33=2,F33=3)),1,"")))</f>
        <v>1</v>
      </c>
      <c r="AS33" s="11" t="str">
        <f aca="false">IF(AR33=1,"טיפוסי",IF(AR33=2,"מתקשה",""))</f>
        <v>טיפוסי</v>
      </c>
      <c r="AT33" s="12" t="n">
        <f aca="false">IF(AR33=1,AO33,"")</f>
        <v>3.25</v>
      </c>
      <c r="AU33" s="12" t="str">
        <f aca="false">IF(AR33=2,AO33,"")</f>
        <v/>
      </c>
      <c r="AV33" s="12" t="n">
        <f aca="false">IF(AR33=1,AP33,"")</f>
        <v>2.9</v>
      </c>
      <c r="AW33" s="12" t="str">
        <f aca="false">IF(AR33=2,AP33,"")</f>
        <v/>
      </c>
      <c r="AX33" s="12" t="n">
        <f aca="false">IF(AR33=1,AQ33,"")</f>
        <v>2.25</v>
      </c>
      <c r="AY33" s="12" t="str">
        <f aca="false">IF(AR33=2,AQ33,"")</f>
        <v/>
      </c>
    </row>
    <row r="34" customFormat="false" ht="15" hidden="false" customHeight="true" outlineLevel="0" collapsed="false">
      <c r="A34" s="10" t="n">
        <v>32</v>
      </c>
      <c r="B34" s="10" t="n">
        <v>1</v>
      </c>
      <c r="C34" s="10" t="n">
        <v>3</v>
      </c>
      <c r="D34" s="10" t="n">
        <v>15</v>
      </c>
      <c r="E34" s="10" t="n">
        <v>4</v>
      </c>
      <c r="F34" s="10" t="n">
        <v>3</v>
      </c>
      <c r="G34" s="10" t="n">
        <v>2</v>
      </c>
      <c r="H34" s="10" t="n">
        <v>2</v>
      </c>
      <c r="I34" s="10" t="n">
        <v>3</v>
      </c>
      <c r="J34" s="10" t="n">
        <v>3</v>
      </c>
      <c r="K34" s="10" t="n">
        <v>2</v>
      </c>
      <c r="L34" s="10" t="n">
        <v>4</v>
      </c>
      <c r="M34" s="10" t="n">
        <v>3</v>
      </c>
      <c r="N34" s="10" t="n">
        <v>1</v>
      </c>
      <c r="O34" s="10" t="n">
        <v>3</v>
      </c>
      <c r="P34" s="10" t="n">
        <v>2</v>
      </c>
      <c r="Q34" s="10" t="n">
        <v>3</v>
      </c>
      <c r="R34" s="10" t="n">
        <v>4</v>
      </c>
      <c r="S34" s="10" t="n">
        <v>4</v>
      </c>
      <c r="T34" s="10" t="n">
        <v>4</v>
      </c>
      <c r="U34" s="10" t="n">
        <v>4</v>
      </c>
      <c r="V34" s="10" t="n">
        <v>2</v>
      </c>
      <c r="W34" s="10" t="n">
        <v>4</v>
      </c>
      <c r="X34" s="10" t="n">
        <v>4</v>
      </c>
      <c r="Y34" s="10" t="n">
        <v>2</v>
      </c>
      <c r="Z34" s="10" t="n">
        <v>1</v>
      </c>
      <c r="AA34" s="10" t="n">
        <v>2</v>
      </c>
      <c r="AB34" s="10" t="n">
        <v>1</v>
      </c>
      <c r="AC34" s="10" t="n">
        <v>3</v>
      </c>
      <c r="AD34" s="10" t="n">
        <v>3</v>
      </c>
      <c r="AE34" s="10" t="n">
        <v>1</v>
      </c>
      <c r="AF34" s="10" t="n">
        <v>3</v>
      </c>
      <c r="AG34" s="10" t="n">
        <v>2</v>
      </c>
      <c r="AH34" s="11" t="n">
        <f aca="false">IF(V34="","",6-V34)</f>
        <v>4</v>
      </c>
      <c r="AI34" s="11" t="n">
        <f aca="false">IF(W34="","",6-W34)</f>
        <v>2</v>
      </c>
      <c r="AJ34" s="11" t="n">
        <f aca="false">IF(X34="","",6-X34)</f>
        <v>2</v>
      </c>
      <c r="AK34" s="11" t="n">
        <f aca="false">IF(Y34="","",6-Y34)</f>
        <v>4</v>
      </c>
      <c r="AL34" s="11" t="n">
        <f aca="false">IF(COUNT(H34:O34)=8,SUM(H34:O34),"")</f>
        <v>21</v>
      </c>
      <c r="AM34" s="11" t="n">
        <f aca="false">IF(COUNT(P34:U34,AH34:AK34)=10,SUM(P34:U34,AH34:AK34),"")</f>
        <v>33</v>
      </c>
      <c r="AN34" s="11" t="n">
        <f aca="false">IF(COUNT(Z34:AG34)=8,SUM(Z34:AG34),"")</f>
        <v>16</v>
      </c>
      <c r="AO34" s="12" t="n">
        <f aca="false">IF(AL34="","",AL34/8)</f>
        <v>2.625</v>
      </c>
      <c r="AP34" s="12" t="n">
        <f aca="false">IF(AM34="","",AM34/10)</f>
        <v>3.3</v>
      </c>
      <c r="AQ34" s="12" t="n">
        <f aca="false">IF(AN34="","",AN34/8)</f>
        <v>2</v>
      </c>
      <c r="AR34" s="11" t="n">
        <f aca="false">IF(A34="","",IF(OR(F34=1,G34=1,AND(E34&lt;&gt;"",E34&lt;=2)),2,IF(AND(E34&gt;=3,G34=2,OR(F34=2,F34=3)),1,"")))</f>
        <v>1</v>
      </c>
      <c r="AS34" s="11" t="str">
        <f aca="false">IF(AR34=1,"טיפוסי",IF(AR34=2,"מתקשה",""))</f>
        <v>טיפוסי</v>
      </c>
      <c r="AT34" s="12" t="n">
        <f aca="false">IF(AR34=1,AO34,"")</f>
        <v>2.625</v>
      </c>
      <c r="AU34" s="12" t="str">
        <f aca="false">IF(AR34=2,AO34,"")</f>
        <v/>
      </c>
      <c r="AV34" s="12" t="n">
        <f aca="false">IF(AR34=1,AP34,"")</f>
        <v>3.3</v>
      </c>
      <c r="AW34" s="12" t="str">
        <f aca="false">IF(AR34=2,AP34,"")</f>
        <v/>
      </c>
      <c r="AX34" s="12" t="n">
        <f aca="false">IF(AR34=1,AQ34,"")</f>
        <v>2</v>
      </c>
      <c r="AY34" s="12" t="str">
        <f aca="false">IF(AR34=2,AQ34,"")</f>
        <v/>
      </c>
    </row>
    <row r="35" customFormat="false" ht="15" hidden="false" customHeight="true" outlineLevel="0" collapsed="false">
      <c r="A35" s="10" t="n">
        <v>33</v>
      </c>
      <c r="B35" s="10" t="n">
        <v>1</v>
      </c>
      <c r="C35" s="10" t="n">
        <v>1</v>
      </c>
      <c r="D35" s="10" t="n">
        <v>12</v>
      </c>
      <c r="E35" s="10" t="n">
        <v>4</v>
      </c>
      <c r="F35" s="10" t="n">
        <v>2</v>
      </c>
      <c r="G35" s="10" t="n">
        <v>2</v>
      </c>
      <c r="H35" s="10" t="n">
        <v>5</v>
      </c>
      <c r="I35" s="10" t="n">
        <v>4</v>
      </c>
      <c r="J35" s="10" t="n">
        <v>5</v>
      </c>
      <c r="K35" s="10" t="n">
        <v>4</v>
      </c>
      <c r="L35" s="10" t="n">
        <v>4</v>
      </c>
      <c r="M35" s="10" t="n">
        <v>5</v>
      </c>
      <c r="N35" s="10" t="n">
        <v>5</v>
      </c>
      <c r="O35" s="10" t="n">
        <v>5</v>
      </c>
      <c r="P35" s="10" t="n">
        <v>5</v>
      </c>
      <c r="Q35" s="10" t="n">
        <v>3</v>
      </c>
      <c r="R35" s="10" t="n">
        <v>4</v>
      </c>
      <c r="S35" s="10" t="n">
        <v>4</v>
      </c>
      <c r="T35" s="10" t="n">
        <v>5</v>
      </c>
      <c r="U35" s="10" t="n">
        <v>4</v>
      </c>
      <c r="V35" s="10" t="n">
        <v>2</v>
      </c>
      <c r="W35" s="10" t="n">
        <v>3</v>
      </c>
      <c r="X35" s="10" t="n">
        <v>2</v>
      </c>
      <c r="Y35" s="10" t="n">
        <v>3</v>
      </c>
      <c r="Z35" s="10" t="n">
        <v>5</v>
      </c>
      <c r="AA35" s="10" t="n">
        <v>4</v>
      </c>
      <c r="AB35" s="10" t="n">
        <v>4</v>
      </c>
      <c r="AC35" s="10" t="n">
        <v>4</v>
      </c>
      <c r="AD35" s="10" t="n">
        <v>5</v>
      </c>
      <c r="AE35" s="10" t="n">
        <v>5</v>
      </c>
      <c r="AF35" s="10" t="n">
        <v>4</v>
      </c>
      <c r="AG35" s="10" t="n">
        <v>5</v>
      </c>
      <c r="AH35" s="11" t="n">
        <f aca="false">IF(V35="","",6-V35)</f>
        <v>4</v>
      </c>
      <c r="AI35" s="11" t="n">
        <f aca="false">IF(W35="","",6-W35)</f>
        <v>3</v>
      </c>
      <c r="AJ35" s="11" t="n">
        <f aca="false">IF(X35="","",6-X35)</f>
        <v>4</v>
      </c>
      <c r="AK35" s="11" t="n">
        <f aca="false">IF(Y35="","",6-Y35)</f>
        <v>3</v>
      </c>
      <c r="AL35" s="11" t="n">
        <f aca="false">IF(COUNT(H35:O35)=8,SUM(H35:O35),"")</f>
        <v>37</v>
      </c>
      <c r="AM35" s="11" t="n">
        <f aca="false">IF(COUNT(P35:U35,AH35:AK35)=10,SUM(P35:U35,AH35:AK35),"")</f>
        <v>39</v>
      </c>
      <c r="AN35" s="11" t="n">
        <f aca="false">IF(COUNT(Z35:AG35)=8,SUM(Z35:AG35),"")</f>
        <v>36</v>
      </c>
      <c r="AO35" s="12" t="n">
        <f aca="false">IF(AL35="","",AL35/8)</f>
        <v>4.625</v>
      </c>
      <c r="AP35" s="12" t="n">
        <f aca="false">IF(AM35="","",AM35/10)</f>
        <v>3.9</v>
      </c>
      <c r="AQ35" s="12" t="n">
        <f aca="false">IF(AN35="","",AN35/8)</f>
        <v>4.5</v>
      </c>
      <c r="AR35" s="11" t="n">
        <f aca="false">IF(A35="","",IF(OR(F35=1,G35=1,AND(E35&lt;&gt;"",E35&lt;=2)),2,IF(AND(E35&gt;=3,G35=2,OR(F35=2,F35=3)),1,"")))</f>
        <v>1</v>
      </c>
      <c r="AS35" s="11" t="str">
        <f aca="false">IF(AR35=1,"טיפוסי",IF(AR35=2,"מתקשה",""))</f>
        <v>טיפוסי</v>
      </c>
      <c r="AT35" s="12" t="n">
        <f aca="false">IF(AR35=1,AO35,"")</f>
        <v>4.625</v>
      </c>
      <c r="AU35" s="12" t="str">
        <f aca="false">IF(AR35=2,AO35,"")</f>
        <v/>
      </c>
      <c r="AV35" s="12" t="n">
        <f aca="false">IF(AR35=1,AP35,"")</f>
        <v>3.9</v>
      </c>
      <c r="AW35" s="12" t="str">
        <f aca="false">IF(AR35=2,AP35,"")</f>
        <v/>
      </c>
      <c r="AX35" s="12" t="n">
        <f aca="false">IF(AR35=1,AQ35,"")</f>
        <v>4.5</v>
      </c>
      <c r="AY35" s="12" t="str">
        <f aca="false">IF(AR35=2,AQ35,"")</f>
        <v/>
      </c>
    </row>
    <row r="36" customFormat="false" ht="15" hidden="false" customHeight="true" outlineLevel="0" collapsed="false">
      <c r="A36" s="10" t="n">
        <v>34</v>
      </c>
      <c r="B36" s="10" t="n">
        <v>2</v>
      </c>
      <c r="C36" s="10" t="n">
        <v>3</v>
      </c>
      <c r="D36" s="10" t="n">
        <v>14</v>
      </c>
      <c r="E36" s="10" t="n">
        <v>3</v>
      </c>
      <c r="F36" s="10" t="n">
        <v>2</v>
      </c>
      <c r="G36" s="10" t="n">
        <v>2</v>
      </c>
      <c r="H36" s="10" t="n">
        <v>3</v>
      </c>
      <c r="I36" s="10" t="n">
        <v>2</v>
      </c>
      <c r="J36" s="10" t="n">
        <v>4</v>
      </c>
      <c r="K36" s="10" t="n">
        <v>4</v>
      </c>
      <c r="L36" s="10" t="n">
        <v>3</v>
      </c>
      <c r="M36" s="10" t="n">
        <v>4</v>
      </c>
      <c r="N36" s="10" t="n">
        <v>3</v>
      </c>
      <c r="O36" s="10" t="n">
        <v>4</v>
      </c>
      <c r="P36" s="10" t="n">
        <v>5</v>
      </c>
      <c r="Q36" s="10" t="n">
        <v>4</v>
      </c>
      <c r="R36" s="10" t="n">
        <v>2</v>
      </c>
      <c r="S36" s="10" t="n">
        <v>3</v>
      </c>
      <c r="T36" s="10" t="n">
        <v>2</v>
      </c>
      <c r="U36" s="10" t="n">
        <v>2</v>
      </c>
      <c r="V36" s="10" t="n">
        <v>5</v>
      </c>
      <c r="W36" s="10" t="n">
        <v>3</v>
      </c>
      <c r="X36" s="10" t="n">
        <v>3</v>
      </c>
      <c r="Y36" s="10" t="n">
        <v>3</v>
      </c>
      <c r="Z36" s="10" t="n">
        <v>4</v>
      </c>
      <c r="AA36" s="10" t="n">
        <v>4</v>
      </c>
      <c r="AB36" s="10" t="n">
        <v>5</v>
      </c>
      <c r="AC36" s="10" t="n">
        <v>5</v>
      </c>
      <c r="AD36" s="10" t="n">
        <v>4</v>
      </c>
      <c r="AE36" s="10" t="n">
        <v>4</v>
      </c>
      <c r="AF36" s="10" t="n">
        <v>4</v>
      </c>
      <c r="AG36" s="10" t="n">
        <v>5</v>
      </c>
      <c r="AH36" s="11" t="n">
        <f aca="false">IF(V36="","",6-V36)</f>
        <v>1</v>
      </c>
      <c r="AI36" s="11" t="n">
        <f aca="false">IF(W36="","",6-W36)</f>
        <v>3</v>
      </c>
      <c r="AJ36" s="11" t="n">
        <f aca="false">IF(X36="","",6-X36)</f>
        <v>3</v>
      </c>
      <c r="AK36" s="11" t="n">
        <f aca="false">IF(Y36="","",6-Y36)</f>
        <v>3</v>
      </c>
      <c r="AL36" s="11" t="n">
        <f aca="false">IF(COUNT(H36:O36)=8,SUM(H36:O36),"")</f>
        <v>27</v>
      </c>
      <c r="AM36" s="11" t="n">
        <f aca="false">IF(COUNT(P36:U36,AH36:AK36)=10,SUM(P36:U36,AH36:AK36),"")</f>
        <v>28</v>
      </c>
      <c r="AN36" s="11" t="n">
        <f aca="false">IF(COUNT(Z36:AG36)=8,SUM(Z36:AG36),"")</f>
        <v>35</v>
      </c>
      <c r="AO36" s="12" t="n">
        <f aca="false">IF(AL36="","",AL36/8)</f>
        <v>3.375</v>
      </c>
      <c r="AP36" s="12" t="n">
        <f aca="false">IF(AM36="","",AM36/10)</f>
        <v>2.8</v>
      </c>
      <c r="AQ36" s="12" t="n">
        <f aca="false">IF(AN36="","",AN36/8)</f>
        <v>4.375</v>
      </c>
      <c r="AR36" s="11" t="n">
        <f aca="false">IF(A36="","",IF(OR(F36=1,G36=1,AND(E36&lt;&gt;"",E36&lt;=2)),2,IF(AND(E36&gt;=3,G36=2,OR(F36=2,F36=3)),1,"")))</f>
        <v>1</v>
      </c>
      <c r="AS36" s="11" t="str">
        <f aca="false">IF(AR36=1,"טיפוסי",IF(AR36=2,"מתקשה",""))</f>
        <v>טיפוסי</v>
      </c>
      <c r="AT36" s="12" t="n">
        <f aca="false">IF(AR36=1,AO36,"")</f>
        <v>3.375</v>
      </c>
      <c r="AU36" s="12" t="str">
        <f aca="false">IF(AR36=2,AO36,"")</f>
        <v/>
      </c>
      <c r="AV36" s="12" t="n">
        <f aca="false">IF(AR36=1,AP36,"")</f>
        <v>2.8</v>
      </c>
      <c r="AW36" s="12" t="str">
        <f aca="false">IF(AR36=2,AP36,"")</f>
        <v/>
      </c>
      <c r="AX36" s="12" t="n">
        <f aca="false">IF(AR36=1,AQ36,"")</f>
        <v>4.375</v>
      </c>
      <c r="AY36" s="12" t="str">
        <f aca="false">IF(AR36=2,AQ36,"")</f>
        <v/>
      </c>
    </row>
    <row r="37" customFormat="false" ht="15" hidden="false" customHeight="true" outlineLevel="0" collapsed="false">
      <c r="A37" s="10" t="n">
        <v>35</v>
      </c>
      <c r="B37" s="10" t="n">
        <v>2</v>
      </c>
      <c r="C37" s="10" t="n">
        <v>2</v>
      </c>
      <c r="D37" s="10" t="n">
        <v>13</v>
      </c>
      <c r="E37" s="10" t="n">
        <v>3</v>
      </c>
      <c r="F37" s="10" t="n">
        <v>2</v>
      </c>
      <c r="G37" s="10" t="n">
        <v>2</v>
      </c>
      <c r="H37" s="10" t="n">
        <v>4</v>
      </c>
      <c r="I37" s="10" t="n">
        <v>4</v>
      </c>
      <c r="J37" s="10" t="n">
        <v>4</v>
      </c>
      <c r="K37" s="10" t="n">
        <v>5</v>
      </c>
      <c r="L37" s="10" t="n">
        <v>4</v>
      </c>
      <c r="M37" s="10" t="n">
        <v>5</v>
      </c>
      <c r="N37" s="10" t="n">
        <v>3</v>
      </c>
      <c r="O37" s="10" t="n">
        <v>5</v>
      </c>
      <c r="P37" s="10" t="n">
        <v>1</v>
      </c>
      <c r="Q37" s="10" t="n">
        <v>3</v>
      </c>
      <c r="R37" s="10" t="n">
        <v>3</v>
      </c>
      <c r="S37" s="10" t="n">
        <v>5</v>
      </c>
      <c r="T37" s="10" t="n">
        <v>2</v>
      </c>
      <c r="U37" s="10" t="n">
        <v>2</v>
      </c>
      <c r="V37" s="10" t="n">
        <v>3</v>
      </c>
      <c r="W37" s="10" t="n">
        <v>3</v>
      </c>
      <c r="X37" s="10" t="n">
        <v>5</v>
      </c>
      <c r="Y37" s="10" t="n">
        <v>5</v>
      </c>
      <c r="Z37" s="10" t="n">
        <v>5</v>
      </c>
      <c r="AA37" s="10" t="n">
        <v>4</v>
      </c>
      <c r="AB37" s="10" t="n">
        <v>5</v>
      </c>
      <c r="AC37" s="10" t="n">
        <v>4</v>
      </c>
      <c r="AD37" s="10" t="n">
        <v>3</v>
      </c>
      <c r="AE37" s="10" t="n">
        <v>5</v>
      </c>
      <c r="AF37" s="10" t="n">
        <v>5</v>
      </c>
      <c r="AG37" s="10" t="n">
        <v>5</v>
      </c>
      <c r="AH37" s="11" t="n">
        <f aca="false">IF(V37="","",6-V37)</f>
        <v>3</v>
      </c>
      <c r="AI37" s="11" t="n">
        <f aca="false">IF(W37="","",6-W37)</f>
        <v>3</v>
      </c>
      <c r="AJ37" s="11" t="n">
        <f aca="false">IF(X37="","",6-X37)</f>
        <v>1</v>
      </c>
      <c r="AK37" s="11" t="n">
        <f aca="false">IF(Y37="","",6-Y37)</f>
        <v>1</v>
      </c>
      <c r="AL37" s="11" t="n">
        <f aca="false">IF(COUNT(H37:O37)=8,SUM(H37:O37),"")</f>
        <v>34</v>
      </c>
      <c r="AM37" s="11" t="n">
        <f aca="false">IF(COUNT(P37:U37,AH37:AK37)=10,SUM(P37:U37,AH37:AK37),"")</f>
        <v>24</v>
      </c>
      <c r="AN37" s="11" t="n">
        <f aca="false">IF(COUNT(Z37:AG37)=8,SUM(Z37:AG37),"")</f>
        <v>36</v>
      </c>
      <c r="AO37" s="12" t="n">
        <f aca="false">IF(AL37="","",AL37/8)</f>
        <v>4.25</v>
      </c>
      <c r="AP37" s="12" t="n">
        <f aca="false">IF(AM37="","",AM37/10)</f>
        <v>2.4</v>
      </c>
      <c r="AQ37" s="12" t="n">
        <f aca="false">IF(AN37="","",AN37/8)</f>
        <v>4.5</v>
      </c>
      <c r="AR37" s="11" t="n">
        <f aca="false">IF(A37="","",IF(OR(F37=1,G37=1,AND(E37&lt;&gt;"",E37&lt;=2)),2,IF(AND(E37&gt;=3,G37=2,OR(F37=2,F37=3)),1,"")))</f>
        <v>1</v>
      </c>
      <c r="AS37" s="11" t="str">
        <f aca="false">IF(AR37=1,"טיפוסי",IF(AR37=2,"מתקשה",""))</f>
        <v>טיפוסי</v>
      </c>
      <c r="AT37" s="12" t="n">
        <f aca="false">IF(AR37=1,AO37,"")</f>
        <v>4.25</v>
      </c>
      <c r="AU37" s="12" t="str">
        <f aca="false">IF(AR37=2,AO37,"")</f>
        <v/>
      </c>
      <c r="AV37" s="12" t="n">
        <f aca="false">IF(AR37=1,AP37,"")</f>
        <v>2.4</v>
      </c>
      <c r="AW37" s="12" t="str">
        <f aca="false">IF(AR37=2,AP37,"")</f>
        <v/>
      </c>
      <c r="AX37" s="12" t="n">
        <f aca="false">IF(AR37=1,AQ37,"")</f>
        <v>4.5</v>
      </c>
      <c r="AY37" s="12" t="str">
        <f aca="false">IF(AR37=2,AQ37,"")</f>
        <v/>
      </c>
    </row>
    <row r="38" customFormat="false" ht="15" hidden="false" customHeight="true" outlineLevel="0" collapsed="false">
      <c r="A38" s="10" t="n">
        <v>36</v>
      </c>
      <c r="B38" s="10" t="n">
        <v>1</v>
      </c>
      <c r="C38" s="10" t="n">
        <v>1</v>
      </c>
      <c r="D38" s="10" t="n">
        <v>13</v>
      </c>
      <c r="E38" s="10" t="n">
        <v>3</v>
      </c>
      <c r="F38" s="10" t="n">
        <v>2</v>
      </c>
      <c r="G38" s="10" t="n">
        <v>2</v>
      </c>
      <c r="H38" s="10" t="n">
        <v>5</v>
      </c>
      <c r="I38" s="10" t="n">
        <v>4</v>
      </c>
      <c r="J38" s="10" t="n">
        <v>3</v>
      </c>
      <c r="K38" s="10" t="n">
        <v>3</v>
      </c>
      <c r="L38" s="10" t="n">
        <v>3</v>
      </c>
      <c r="M38" s="10" t="n">
        <v>4</v>
      </c>
      <c r="N38" s="10" t="n">
        <v>3</v>
      </c>
      <c r="O38" s="10" t="n">
        <v>4</v>
      </c>
      <c r="P38" s="10" t="n">
        <v>3</v>
      </c>
      <c r="Q38" s="10" t="n">
        <v>2</v>
      </c>
      <c r="R38" s="10" t="n">
        <v>4</v>
      </c>
      <c r="S38" s="10" t="n">
        <v>2</v>
      </c>
      <c r="T38" s="10" t="n">
        <v>3</v>
      </c>
      <c r="U38" s="10" t="n">
        <v>3</v>
      </c>
      <c r="V38" s="10" t="n">
        <v>4</v>
      </c>
      <c r="W38" s="10" t="n">
        <v>4</v>
      </c>
      <c r="X38" s="10" t="n">
        <v>2</v>
      </c>
      <c r="Y38" s="10" t="n">
        <v>4</v>
      </c>
      <c r="Z38" s="10" t="n">
        <v>5</v>
      </c>
      <c r="AA38" s="10" t="n">
        <v>4</v>
      </c>
      <c r="AB38" s="10" t="n">
        <v>3</v>
      </c>
      <c r="AC38" s="10" t="n">
        <v>3</v>
      </c>
      <c r="AD38" s="10" t="n">
        <v>4</v>
      </c>
      <c r="AE38" s="10" t="n">
        <v>3</v>
      </c>
      <c r="AF38" s="10" t="n">
        <v>5</v>
      </c>
      <c r="AG38" s="10" t="n">
        <v>4</v>
      </c>
      <c r="AH38" s="11" t="n">
        <f aca="false">IF(V38="","",6-V38)</f>
        <v>2</v>
      </c>
      <c r="AI38" s="11" t="n">
        <f aca="false">IF(W38="","",6-W38)</f>
        <v>2</v>
      </c>
      <c r="AJ38" s="11" t="n">
        <f aca="false">IF(X38="","",6-X38)</f>
        <v>4</v>
      </c>
      <c r="AK38" s="11" t="n">
        <f aca="false">IF(Y38="","",6-Y38)</f>
        <v>2</v>
      </c>
      <c r="AL38" s="11" t="n">
        <f aca="false">IF(COUNT(H38:O38)=8,SUM(H38:O38),"")</f>
        <v>29</v>
      </c>
      <c r="AM38" s="11" t="n">
        <f aca="false">IF(COUNT(P38:U38,AH38:AK38)=10,SUM(P38:U38,AH38:AK38),"")</f>
        <v>27</v>
      </c>
      <c r="AN38" s="11" t="n">
        <f aca="false">IF(COUNT(Z38:AG38)=8,SUM(Z38:AG38),"")</f>
        <v>31</v>
      </c>
      <c r="AO38" s="12" t="n">
        <f aca="false">IF(AL38="","",AL38/8)</f>
        <v>3.625</v>
      </c>
      <c r="AP38" s="12" t="n">
        <f aca="false">IF(AM38="","",AM38/10)</f>
        <v>2.7</v>
      </c>
      <c r="AQ38" s="12" t="n">
        <f aca="false">IF(AN38="","",AN38/8)</f>
        <v>3.875</v>
      </c>
      <c r="AR38" s="11" t="n">
        <f aca="false">IF(A38="","",IF(OR(F38=1,G38=1,AND(E38&lt;&gt;"",E38&lt;=2)),2,IF(AND(E38&gt;=3,G38=2,OR(F38=2,F38=3)),1,"")))</f>
        <v>1</v>
      </c>
      <c r="AS38" s="11" t="str">
        <f aca="false">IF(AR38=1,"טיפוסי",IF(AR38=2,"מתקשה",""))</f>
        <v>טיפוסי</v>
      </c>
      <c r="AT38" s="12" t="n">
        <f aca="false">IF(AR38=1,AO38,"")</f>
        <v>3.625</v>
      </c>
      <c r="AU38" s="12" t="str">
        <f aca="false">IF(AR38=2,AO38,"")</f>
        <v/>
      </c>
      <c r="AV38" s="12" t="n">
        <f aca="false">IF(AR38=1,AP38,"")</f>
        <v>2.7</v>
      </c>
      <c r="AW38" s="12" t="str">
        <f aca="false">IF(AR38=2,AP38,"")</f>
        <v/>
      </c>
      <c r="AX38" s="12" t="n">
        <f aca="false">IF(AR38=1,AQ38,"")</f>
        <v>3.875</v>
      </c>
      <c r="AY38" s="12" t="str">
        <f aca="false">IF(AR38=2,AQ38,"")</f>
        <v/>
      </c>
    </row>
    <row r="39" customFormat="false" ht="15" hidden="false" customHeight="true" outlineLevel="0" collapsed="false">
      <c r="A39" s="10" t="n">
        <v>37</v>
      </c>
      <c r="B39" s="10" t="n">
        <v>2</v>
      </c>
      <c r="C39" s="10" t="n">
        <v>2</v>
      </c>
      <c r="D39" s="10" t="n">
        <v>14</v>
      </c>
      <c r="E39" s="10" t="n">
        <v>2</v>
      </c>
      <c r="F39" s="10" t="n">
        <v>2</v>
      </c>
      <c r="G39" s="10" t="n">
        <v>2</v>
      </c>
      <c r="H39" s="10" t="n">
        <v>5</v>
      </c>
      <c r="I39" s="10" t="n">
        <v>5</v>
      </c>
      <c r="J39" s="10" t="n">
        <v>5</v>
      </c>
      <c r="K39" s="10" t="n">
        <v>5</v>
      </c>
      <c r="L39" s="10" t="n">
        <v>5</v>
      </c>
      <c r="M39" s="10" t="n">
        <v>5</v>
      </c>
      <c r="N39" s="10" t="n">
        <v>5</v>
      </c>
      <c r="O39" s="10" t="n">
        <v>5</v>
      </c>
      <c r="P39" s="10" t="n">
        <v>5</v>
      </c>
      <c r="Q39" s="10" t="n">
        <v>3</v>
      </c>
      <c r="R39" s="10" t="n">
        <v>4</v>
      </c>
      <c r="S39" s="10" t="n">
        <v>4</v>
      </c>
      <c r="T39" s="10" t="n">
        <v>3</v>
      </c>
      <c r="U39" s="10" t="n">
        <v>2</v>
      </c>
      <c r="V39" s="10" t="n">
        <v>1</v>
      </c>
      <c r="W39" s="10" t="n">
        <v>2</v>
      </c>
      <c r="X39" s="10" t="n">
        <v>3</v>
      </c>
      <c r="Y39" s="10" t="n">
        <v>1</v>
      </c>
      <c r="Z39" s="10" t="n">
        <v>4</v>
      </c>
      <c r="AA39" s="10" t="n">
        <v>3</v>
      </c>
      <c r="AB39" s="10" t="n">
        <v>5</v>
      </c>
      <c r="AC39" s="10" t="n">
        <v>5</v>
      </c>
      <c r="AD39" s="10" t="n">
        <v>5</v>
      </c>
      <c r="AE39" s="10" t="n">
        <v>3</v>
      </c>
      <c r="AF39" s="10" t="n">
        <v>5</v>
      </c>
      <c r="AG39" s="10" t="n">
        <v>4</v>
      </c>
      <c r="AH39" s="11" t="n">
        <f aca="false">IF(V39="","",6-V39)</f>
        <v>5</v>
      </c>
      <c r="AI39" s="11" t="n">
        <f aca="false">IF(W39="","",6-W39)</f>
        <v>4</v>
      </c>
      <c r="AJ39" s="11" t="n">
        <f aca="false">IF(X39="","",6-X39)</f>
        <v>3</v>
      </c>
      <c r="AK39" s="11" t="n">
        <f aca="false">IF(Y39="","",6-Y39)</f>
        <v>5</v>
      </c>
      <c r="AL39" s="11" t="n">
        <f aca="false">IF(COUNT(H39:O39)=8,SUM(H39:O39),"")</f>
        <v>40</v>
      </c>
      <c r="AM39" s="11" t="n">
        <f aca="false">IF(COUNT(P39:U39,AH39:AK39)=10,SUM(P39:U39,AH39:AK39),"")</f>
        <v>38</v>
      </c>
      <c r="AN39" s="11" t="n">
        <f aca="false">IF(COUNT(Z39:AG39)=8,SUM(Z39:AG39),"")</f>
        <v>34</v>
      </c>
      <c r="AO39" s="12" t="n">
        <f aca="false">IF(AL39="","",AL39/8)</f>
        <v>5</v>
      </c>
      <c r="AP39" s="12" t="n">
        <f aca="false">IF(AM39="","",AM39/10)</f>
        <v>3.8</v>
      </c>
      <c r="AQ39" s="12" t="n">
        <f aca="false">IF(AN39="","",AN39/8)</f>
        <v>4.25</v>
      </c>
      <c r="AR39" s="11" t="n">
        <f aca="false">IF(A39="","",IF(OR(F39=1,G39=1,AND(E39&lt;&gt;"",E39&lt;=2)),2,IF(AND(E39&gt;=3,G39=2,OR(F39=2,F39=3)),1,"")))</f>
        <v>2</v>
      </c>
      <c r="AS39" s="11" t="str">
        <f aca="false">IF(AR39=1,"טיפוסי",IF(AR39=2,"מתקשה",""))</f>
        <v>מתקשה</v>
      </c>
      <c r="AT39" s="12" t="str">
        <f aca="false">IF(AR39=1,AO39,"")</f>
        <v/>
      </c>
      <c r="AU39" s="12" t="n">
        <f aca="false">IF(AR39=2,AO39,"")</f>
        <v>5</v>
      </c>
      <c r="AV39" s="12" t="str">
        <f aca="false">IF(AR39=1,AP39,"")</f>
        <v/>
      </c>
      <c r="AW39" s="12" t="n">
        <f aca="false">IF(AR39=2,AP39,"")</f>
        <v>3.8</v>
      </c>
      <c r="AX39" s="12" t="str">
        <f aca="false">IF(AR39=1,AQ39,"")</f>
        <v/>
      </c>
      <c r="AY39" s="12" t="n">
        <f aca="false">IF(AR39=2,AQ39,"")</f>
        <v>4.25</v>
      </c>
    </row>
    <row r="40" customFormat="false" ht="15" hidden="false" customHeight="true" outlineLevel="0" collapsed="false">
      <c r="A40" s="10" t="n">
        <v>38</v>
      </c>
      <c r="B40" s="10" t="n">
        <v>1</v>
      </c>
      <c r="C40" s="10" t="n">
        <v>3</v>
      </c>
      <c r="D40" s="10" t="n">
        <v>14</v>
      </c>
      <c r="E40" s="10" t="n">
        <v>4</v>
      </c>
      <c r="F40" s="10" t="n">
        <v>2</v>
      </c>
      <c r="G40" s="10" t="n">
        <v>2</v>
      </c>
      <c r="H40" s="10" t="n">
        <v>3</v>
      </c>
      <c r="I40" s="10" t="n">
        <v>4</v>
      </c>
      <c r="J40" s="10" t="n">
        <v>3</v>
      </c>
      <c r="K40" s="10" t="n">
        <v>4</v>
      </c>
      <c r="L40" s="10" t="n">
        <v>3</v>
      </c>
      <c r="M40" s="10" t="n">
        <v>3</v>
      </c>
      <c r="N40" s="10" t="n">
        <v>4</v>
      </c>
      <c r="O40" s="10" t="n">
        <v>5</v>
      </c>
      <c r="P40" s="10" t="n">
        <v>3</v>
      </c>
      <c r="Q40" s="10" t="n">
        <v>3</v>
      </c>
      <c r="R40" s="10" t="n">
        <v>2</v>
      </c>
      <c r="S40" s="10" t="n">
        <v>2</v>
      </c>
      <c r="T40" s="10" t="n">
        <v>1</v>
      </c>
      <c r="U40" s="10" t="n">
        <v>2</v>
      </c>
      <c r="V40" s="10" t="n">
        <v>3</v>
      </c>
      <c r="W40" s="10" t="n">
        <v>4</v>
      </c>
      <c r="X40" s="10" t="n">
        <v>4</v>
      </c>
      <c r="Y40" s="10" t="n">
        <v>3</v>
      </c>
      <c r="Z40" s="10" t="n">
        <v>3</v>
      </c>
      <c r="AA40" s="10" t="n">
        <v>3</v>
      </c>
      <c r="AB40" s="10" t="n">
        <v>3</v>
      </c>
      <c r="AC40" s="10" t="n">
        <v>5</v>
      </c>
      <c r="AD40" s="10" t="n">
        <v>3</v>
      </c>
      <c r="AE40" s="10" t="n">
        <v>2</v>
      </c>
      <c r="AF40" s="10" t="n">
        <v>4</v>
      </c>
      <c r="AG40" s="10" t="n">
        <v>2</v>
      </c>
      <c r="AH40" s="11" t="n">
        <f aca="false">IF(V40="","",6-V40)</f>
        <v>3</v>
      </c>
      <c r="AI40" s="11" t="n">
        <f aca="false">IF(W40="","",6-W40)</f>
        <v>2</v>
      </c>
      <c r="AJ40" s="11" t="n">
        <f aca="false">IF(X40="","",6-X40)</f>
        <v>2</v>
      </c>
      <c r="AK40" s="11" t="n">
        <f aca="false">IF(Y40="","",6-Y40)</f>
        <v>3</v>
      </c>
      <c r="AL40" s="11" t="n">
        <f aca="false">IF(COUNT(H40:O40)=8,SUM(H40:O40),"")</f>
        <v>29</v>
      </c>
      <c r="AM40" s="11" t="n">
        <f aca="false">IF(COUNT(P40:U40,AH40:AK40)=10,SUM(P40:U40,AH40:AK40),"")</f>
        <v>23</v>
      </c>
      <c r="AN40" s="11" t="n">
        <f aca="false">IF(COUNT(Z40:AG40)=8,SUM(Z40:AG40),"")</f>
        <v>25</v>
      </c>
      <c r="AO40" s="12" t="n">
        <f aca="false">IF(AL40="","",AL40/8)</f>
        <v>3.625</v>
      </c>
      <c r="AP40" s="12" t="n">
        <f aca="false">IF(AM40="","",AM40/10)</f>
        <v>2.3</v>
      </c>
      <c r="AQ40" s="12" t="n">
        <f aca="false">IF(AN40="","",AN40/8)</f>
        <v>3.125</v>
      </c>
      <c r="AR40" s="11" t="n">
        <f aca="false">IF(A40="","",IF(OR(F40=1,G40=1,AND(E40&lt;&gt;"",E40&lt;=2)),2,IF(AND(E40&gt;=3,G40=2,OR(F40=2,F40=3)),1,"")))</f>
        <v>1</v>
      </c>
      <c r="AS40" s="11" t="str">
        <f aca="false">IF(AR40=1,"טיפוסי",IF(AR40=2,"מתקשה",""))</f>
        <v>טיפוסי</v>
      </c>
      <c r="AT40" s="12" t="n">
        <f aca="false">IF(AR40=1,AO40,"")</f>
        <v>3.625</v>
      </c>
      <c r="AU40" s="12" t="str">
        <f aca="false">IF(AR40=2,AO40,"")</f>
        <v/>
      </c>
      <c r="AV40" s="12" t="n">
        <f aca="false">IF(AR40=1,AP40,"")</f>
        <v>2.3</v>
      </c>
      <c r="AW40" s="12" t="str">
        <f aca="false">IF(AR40=2,AP40,"")</f>
        <v/>
      </c>
      <c r="AX40" s="12" t="n">
        <f aca="false">IF(AR40=1,AQ40,"")</f>
        <v>3.125</v>
      </c>
      <c r="AY40" s="12" t="str">
        <f aca="false">IF(AR40=2,AQ40,"")</f>
        <v/>
      </c>
    </row>
    <row r="41" customFormat="false" ht="15" hidden="false" customHeight="true" outlineLevel="0" collapsed="false">
      <c r="A41" s="10" t="n">
        <v>39</v>
      </c>
      <c r="B41" s="10" t="n">
        <v>1</v>
      </c>
      <c r="C41" s="10" t="n">
        <v>1</v>
      </c>
      <c r="D41" s="10" t="n">
        <v>13</v>
      </c>
      <c r="E41" s="10" t="n">
        <v>4</v>
      </c>
      <c r="F41" s="10" t="n">
        <v>3</v>
      </c>
      <c r="G41" s="10" t="n">
        <v>2</v>
      </c>
      <c r="H41" s="10" t="n">
        <v>4</v>
      </c>
      <c r="I41" s="10" t="n">
        <v>4</v>
      </c>
      <c r="J41" s="10" t="n">
        <v>3</v>
      </c>
      <c r="K41" s="10" t="n">
        <v>3</v>
      </c>
      <c r="L41" s="10" t="n">
        <v>2</v>
      </c>
      <c r="M41" s="10" t="n">
        <v>3</v>
      </c>
      <c r="N41" s="10" t="n">
        <v>3</v>
      </c>
      <c r="O41" s="10" t="n">
        <v>4</v>
      </c>
      <c r="P41" s="10" t="n">
        <v>5</v>
      </c>
      <c r="Q41" s="10" t="n">
        <v>2</v>
      </c>
      <c r="R41" s="10" t="n">
        <v>3</v>
      </c>
      <c r="S41" s="10" t="n">
        <v>2</v>
      </c>
      <c r="T41" s="10" t="n">
        <v>4</v>
      </c>
      <c r="U41" s="10" t="n">
        <v>3</v>
      </c>
      <c r="V41" s="10" t="n">
        <v>4</v>
      </c>
      <c r="W41" s="10" t="n">
        <v>3</v>
      </c>
      <c r="X41" s="10" t="n">
        <v>2</v>
      </c>
      <c r="Y41" s="10" t="n">
        <v>4</v>
      </c>
      <c r="Z41" s="10" t="n">
        <v>4</v>
      </c>
      <c r="AA41" s="10" t="n">
        <v>2</v>
      </c>
      <c r="AB41" s="10" t="n">
        <v>4</v>
      </c>
      <c r="AC41" s="10" t="n">
        <v>4</v>
      </c>
      <c r="AD41" s="10" t="n">
        <v>4</v>
      </c>
      <c r="AE41" s="10" t="n">
        <v>4</v>
      </c>
      <c r="AF41" s="10" t="n">
        <v>4</v>
      </c>
      <c r="AG41" s="10" t="n">
        <v>4</v>
      </c>
      <c r="AH41" s="11" t="n">
        <f aca="false">IF(V41="","",6-V41)</f>
        <v>2</v>
      </c>
      <c r="AI41" s="11" t="n">
        <f aca="false">IF(W41="","",6-W41)</f>
        <v>3</v>
      </c>
      <c r="AJ41" s="11" t="n">
        <f aca="false">IF(X41="","",6-X41)</f>
        <v>4</v>
      </c>
      <c r="AK41" s="11" t="n">
        <f aca="false">IF(Y41="","",6-Y41)</f>
        <v>2</v>
      </c>
      <c r="AL41" s="11" t="n">
        <f aca="false">IF(COUNT(H41:O41)=8,SUM(H41:O41),"")</f>
        <v>26</v>
      </c>
      <c r="AM41" s="11" t="n">
        <f aca="false">IF(COUNT(P41:U41,AH41:AK41)=10,SUM(P41:U41,AH41:AK41),"")</f>
        <v>30</v>
      </c>
      <c r="AN41" s="11" t="n">
        <f aca="false">IF(COUNT(Z41:AG41)=8,SUM(Z41:AG41),"")</f>
        <v>30</v>
      </c>
      <c r="AO41" s="12" t="n">
        <f aca="false">IF(AL41="","",AL41/8)</f>
        <v>3.25</v>
      </c>
      <c r="AP41" s="12" t="n">
        <f aca="false">IF(AM41="","",AM41/10)</f>
        <v>3</v>
      </c>
      <c r="AQ41" s="12" t="n">
        <f aca="false">IF(AN41="","",AN41/8)</f>
        <v>3.75</v>
      </c>
      <c r="AR41" s="11" t="n">
        <f aca="false">IF(A41="","",IF(OR(F41=1,G41=1,AND(E41&lt;&gt;"",E41&lt;=2)),2,IF(AND(E41&gt;=3,G41=2,OR(F41=2,F41=3)),1,"")))</f>
        <v>1</v>
      </c>
      <c r="AS41" s="11" t="str">
        <f aca="false">IF(AR41=1,"טיפוסי",IF(AR41=2,"מתקשה",""))</f>
        <v>טיפוסי</v>
      </c>
      <c r="AT41" s="12" t="n">
        <f aca="false">IF(AR41=1,AO41,"")</f>
        <v>3.25</v>
      </c>
      <c r="AU41" s="12" t="str">
        <f aca="false">IF(AR41=2,AO41,"")</f>
        <v/>
      </c>
      <c r="AV41" s="12" t="n">
        <f aca="false">IF(AR41=1,AP41,"")</f>
        <v>3</v>
      </c>
      <c r="AW41" s="12" t="str">
        <f aca="false">IF(AR41=2,AP41,"")</f>
        <v/>
      </c>
      <c r="AX41" s="12" t="n">
        <f aca="false">IF(AR41=1,AQ41,"")</f>
        <v>3.75</v>
      </c>
      <c r="AY41" s="12" t="str">
        <f aca="false">IF(AR41=2,AQ41,"")</f>
        <v/>
      </c>
    </row>
    <row r="42" customFormat="false" ht="15" hidden="false" customHeight="true" outlineLevel="0" collapsed="false">
      <c r="A42" s="10" t="n">
        <v>40</v>
      </c>
      <c r="B42" s="10" t="n">
        <v>2</v>
      </c>
      <c r="C42" s="10" t="n">
        <v>3</v>
      </c>
      <c r="D42" s="10" t="n">
        <v>14</v>
      </c>
      <c r="E42" s="10" t="n">
        <v>3</v>
      </c>
      <c r="F42" s="10" t="n">
        <v>2</v>
      </c>
      <c r="G42" s="10" t="n">
        <v>1</v>
      </c>
      <c r="H42" s="10" t="n">
        <v>3</v>
      </c>
      <c r="I42" s="10" t="n">
        <v>4</v>
      </c>
      <c r="J42" s="10" t="n">
        <v>3</v>
      </c>
      <c r="K42" s="10" t="n">
        <v>4</v>
      </c>
      <c r="L42" s="10" t="n">
        <v>4</v>
      </c>
      <c r="M42" s="10" t="n">
        <v>2</v>
      </c>
      <c r="N42" s="10" t="n">
        <v>4</v>
      </c>
      <c r="O42" s="10" t="n">
        <v>3</v>
      </c>
      <c r="P42" s="10" t="n">
        <v>3</v>
      </c>
      <c r="Q42" s="10" t="n">
        <v>5</v>
      </c>
      <c r="R42" s="10" t="n">
        <v>4</v>
      </c>
      <c r="S42" s="10" t="n">
        <v>4</v>
      </c>
      <c r="T42" s="10" t="n">
        <v>3</v>
      </c>
      <c r="U42" s="10" t="n">
        <v>2</v>
      </c>
      <c r="V42" s="10" t="n">
        <v>4</v>
      </c>
      <c r="W42" s="10" t="n">
        <v>3</v>
      </c>
      <c r="X42" s="10" t="n">
        <v>4</v>
      </c>
      <c r="Y42" s="10" t="n">
        <v>4</v>
      </c>
      <c r="Z42" s="10" t="n">
        <v>3</v>
      </c>
      <c r="AA42" s="10" t="n">
        <v>2</v>
      </c>
      <c r="AB42" s="10" t="n">
        <v>4</v>
      </c>
      <c r="AC42" s="10" t="n">
        <v>3</v>
      </c>
      <c r="AD42" s="10" t="n">
        <v>3</v>
      </c>
      <c r="AE42" s="10" t="n">
        <v>1</v>
      </c>
      <c r="AF42" s="10" t="n">
        <v>5</v>
      </c>
      <c r="AG42" s="10" t="n">
        <v>2</v>
      </c>
      <c r="AH42" s="11" t="n">
        <f aca="false">IF(V42="","",6-V42)</f>
        <v>2</v>
      </c>
      <c r="AI42" s="11" t="n">
        <f aca="false">IF(W42="","",6-W42)</f>
        <v>3</v>
      </c>
      <c r="AJ42" s="11" t="n">
        <f aca="false">IF(X42="","",6-X42)</f>
        <v>2</v>
      </c>
      <c r="AK42" s="11" t="n">
        <f aca="false">IF(Y42="","",6-Y42)</f>
        <v>2</v>
      </c>
      <c r="AL42" s="11" t="n">
        <f aca="false">IF(COUNT(H42:O42)=8,SUM(H42:O42),"")</f>
        <v>27</v>
      </c>
      <c r="AM42" s="11" t="n">
        <f aca="false">IF(COUNT(P42:U42,AH42:AK42)=10,SUM(P42:U42,AH42:AK42),"")</f>
        <v>30</v>
      </c>
      <c r="AN42" s="11" t="n">
        <f aca="false">IF(COUNT(Z42:AG42)=8,SUM(Z42:AG42),"")</f>
        <v>23</v>
      </c>
      <c r="AO42" s="12" t="n">
        <f aca="false">IF(AL42="","",AL42/8)</f>
        <v>3.375</v>
      </c>
      <c r="AP42" s="12" t="n">
        <f aca="false">IF(AM42="","",AM42/10)</f>
        <v>3</v>
      </c>
      <c r="AQ42" s="12" t="n">
        <f aca="false">IF(AN42="","",AN42/8)</f>
        <v>2.875</v>
      </c>
      <c r="AR42" s="11" t="n">
        <f aca="false">IF(A42="","",IF(OR(F42=1,G42=1,AND(E42&lt;&gt;"",E42&lt;=2)),2,IF(AND(E42&gt;=3,G42=2,OR(F42=2,F42=3)),1,"")))</f>
        <v>2</v>
      </c>
      <c r="AS42" s="11" t="str">
        <f aca="false">IF(AR42=1,"טיפוסי",IF(AR42=2,"מתקשה",""))</f>
        <v>מתקשה</v>
      </c>
      <c r="AT42" s="12" t="str">
        <f aca="false">IF(AR42=1,AO42,"")</f>
        <v/>
      </c>
      <c r="AU42" s="12" t="n">
        <f aca="false">IF(AR42=2,AO42,"")</f>
        <v>3.375</v>
      </c>
      <c r="AV42" s="12" t="str">
        <f aca="false">IF(AR42=1,AP42,"")</f>
        <v/>
      </c>
      <c r="AW42" s="12" t="n">
        <f aca="false">IF(AR42=2,AP42,"")</f>
        <v>3</v>
      </c>
      <c r="AX42" s="12" t="str">
        <f aca="false">IF(AR42=1,AQ42,"")</f>
        <v/>
      </c>
      <c r="AY42" s="12" t="n">
        <f aca="false">IF(AR42=2,AQ42,"")</f>
        <v>2.875</v>
      </c>
    </row>
    <row r="43" customFormat="false" ht="15" hidden="false" customHeight="true" outlineLevel="0" collapsed="false">
      <c r="A43" s="10" t="n">
        <v>41</v>
      </c>
      <c r="B43" s="10" t="n">
        <v>2</v>
      </c>
      <c r="C43" s="10" t="n">
        <v>2</v>
      </c>
      <c r="D43" s="10" t="n">
        <v>13</v>
      </c>
      <c r="E43" s="10" t="n">
        <v>2</v>
      </c>
      <c r="F43" s="10" t="n">
        <v>1</v>
      </c>
      <c r="G43" s="10" t="n">
        <v>2</v>
      </c>
      <c r="H43" s="10" t="n">
        <v>3</v>
      </c>
      <c r="I43" s="10" t="n">
        <v>3</v>
      </c>
      <c r="J43" s="10" t="n">
        <v>1</v>
      </c>
      <c r="K43" s="10" t="n">
        <v>3</v>
      </c>
      <c r="L43" s="10" t="n">
        <v>3</v>
      </c>
      <c r="M43" s="10" t="n">
        <v>2</v>
      </c>
      <c r="N43" s="10" t="n">
        <v>1</v>
      </c>
      <c r="O43" s="10" t="n">
        <v>4</v>
      </c>
      <c r="P43" s="10" t="n">
        <v>2</v>
      </c>
      <c r="Q43" s="10" t="n">
        <v>2</v>
      </c>
      <c r="R43" s="10" t="n">
        <v>3</v>
      </c>
      <c r="S43" s="10" t="n">
        <v>2</v>
      </c>
      <c r="T43" s="10" t="n">
        <v>2</v>
      </c>
      <c r="U43" s="10" t="n">
        <v>2</v>
      </c>
      <c r="V43" s="10" t="n">
        <v>5</v>
      </c>
      <c r="W43" s="10" t="n">
        <v>5</v>
      </c>
      <c r="X43" s="10" t="n">
        <v>5</v>
      </c>
      <c r="Y43" s="10" t="n">
        <v>2</v>
      </c>
      <c r="Z43" s="10" t="n">
        <v>2</v>
      </c>
      <c r="AA43" s="10" t="n">
        <v>1</v>
      </c>
      <c r="AB43" s="10" t="n">
        <v>3</v>
      </c>
      <c r="AC43" s="10" t="n">
        <v>2</v>
      </c>
      <c r="AD43" s="10" t="n">
        <v>3</v>
      </c>
      <c r="AE43" s="10" t="n">
        <v>3</v>
      </c>
      <c r="AF43" s="10" t="n">
        <v>2</v>
      </c>
      <c r="AG43" s="10" t="n">
        <v>2</v>
      </c>
      <c r="AH43" s="11" t="n">
        <f aca="false">IF(V43="","",6-V43)</f>
        <v>1</v>
      </c>
      <c r="AI43" s="11" t="n">
        <f aca="false">IF(W43="","",6-W43)</f>
        <v>1</v>
      </c>
      <c r="AJ43" s="11" t="n">
        <f aca="false">IF(X43="","",6-X43)</f>
        <v>1</v>
      </c>
      <c r="AK43" s="11" t="n">
        <f aca="false">IF(Y43="","",6-Y43)</f>
        <v>4</v>
      </c>
      <c r="AL43" s="11" t="n">
        <f aca="false">IF(COUNT(H43:O43)=8,SUM(H43:O43),"")</f>
        <v>20</v>
      </c>
      <c r="AM43" s="11" t="n">
        <f aca="false">IF(COUNT(P43:U43,AH43:AK43)=10,SUM(P43:U43,AH43:AK43),"")</f>
        <v>20</v>
      </c>
      <c r="AN43" s="11" t="n">
        <f aca="false">IF(COUNT(Z43:AG43)=8,SUM(Z43:AG43),"")</f>
        <v>18</v>
      </c>
      <c r="AO43" s="12" t="n">
        <f aca="false">IF(AL43="","",AL43/8)</f>
        <v>2.5</v>
      </c>
      <c r="AP43" s="12" t="n">
        <f aca="false">IF(AM43="","",AM43/10)</f>
        <v>2</v>
      </c>
      <c r="AQ43" s="12" t="n">
        <f aca="false">IF(AN43="","",AN43/8)</f>
        <v>2.25</v>
      </c>
      <c r="AR43" s="11" t="n">
        <f aca="false">IF(A43="","",IF(OR(F43=1,G43=1,AND(E43&lt;&gt;"",E43&lt;=2)),2,IF(AND(E43&gt;=3,G43=2,OR(F43=2,F43=3)),1,"")))</f>
        <v>2</v>
      </c>
      <c r="AS43" s="11" t="str">
        <f aca="false">IF(AR43=1,"טיפוסי",IF(AR43=2,"מתקשה",""))</f>
        <v>מתקשה</v>
      </c>
      <c r="AT43" s="12" t="str">
        <f aca="false">IF(AR43=1,AO43,"")</f>
        <v/>
      </c>
      <c r="AU43" s="12" t="n">
        <f aca="false">IF(AR43=2,AO43,"")</f>
        <v>2.5</v>
      </c>
      <c r="AV43" s="12" t="str">
        <f aca="false">IF(AR43=1,AP43,"")</f>
        <v/>
      </c>
      <c r="AW43" s="12" t="n">
        <f aca="false">IF(AR43=2,AP43,"")</f>
        <v>2</v>
      </c>
      <c r="AX43" s="12" t="str">
        <f aca="false">IF(AR43=1,AQ43,"")</f>
        <v/>
      </c>
      <c r="AY43" s="12" t="n">
        <f aca="false">IF(AR43=2,AQ43,"")</f>
        <v>2.25</v>
      </c>
    </row>
    <row r="44" customFormat="false" ht="15" hidden="false" customHeight="true" outlineLevel="0" collapsed="false">
      <c r="A44" s="10" t="n">
        <v>42</v>
      </c>
      <c r="B44" s="10" t="n">
        <v>1</v>
      </c>
      <c r="C44" s="10" t="n">
        <v>1</v>
      </c>
      <c r="D44" s="10" t="n">
        <v>13</v>
      </c>
      <c r="E44" s="10" t="n">
        <v>3</v>
      </c>
      <c r="F44" s="10" t="n">
        <v>2</v>
      </c>
      <c r="G44" s="10" t="n">
        <v>2</v>
      </c>
      <c r="H44" s="10" t="n">
        <v>4</v>
      </c>
      <c r="I44" s="10" t="n">
        <v>3</v>
      </c>
      <c r="J44" s="10" t="n">
        <v>4</v>
      </c>
      <c r="K44" s="10" t="n">
        <v>5</v>
      </c>
      <c r="L44" s="10" t="n">
        <v>2</v>
      </c>
      <c r="M44" s="10" t="n">
        <v>3</v>
      </c>
      <c r="N44" s="10" t="n">
        <v>5</v>
      </c>
      <c r="O44" s="10" t="n">
        <v>4</v>
      </c>
      <c r="P44" s="10" t="n">
        <v>1</v>
      </c>
      <c r="Q44" s="10" t="n">
        <v>2</v>
      </c>
      <c r="R44" s="10" t="n">
        <v>2</v>
      </c>
      <c r="S44" s="10" t="n">
        <v>2</v>
      </c>
      <c r="T44" s="10" t="n">
        <v>3</v>
      </c>
      <c r="U44" s="10" t="n">
        <v>1</v>
      </c>
      <c r="V44" s="10" t="n">
        <v>5</v>
      </c>
      <c r="W44" s="10" t="n">
        <v>4</v>
      </c>
      <c r="X44" s="10" t="n">
        <v>5</v>
      </c>
      <c r="Y44" s="10" t="n">
        <v>5</v>
      </c>
      <c r="Z44" s="10" t="n">
        <v>5</v>
      </c>
      <c r="AA44" s="10" t="n">
        <v>3</v>
      </c>
      <c r="AB44" s="10" t="n">
        <v>3</v>
      </c>
      <c r="AC44" s="10" t="n">
        <v>4</v>
      </c>
      <c r="AD44" s="10" t="n">
        <v>4</v>
      </c>
      <c r="AE44" s="10" t="n">
        <v>5</v>
      </c>
      <c r="AF44" s="10" t="n">
        <v>3</v>
      </c>
      <c r="AG44" s="10" t="n">
        <v>2</v>
      </c>
      <c r="AH44" s="11" t="n">
        <f aca="false">IF(V44="","",6-V44)</f>
        <v>1</v>
      </c>
      <c r="AI44" s="11" t="n">
        <f aca="false">IF(W44="","",6-W44)</f>
        <v>2</v>
      </c>
      <c r="AJ44" s="11" t="n">
        <f aca="false">IF(X44="","",6-X44)</f>
        <v>1</v>
      </c>
      <c r="AK44" s="11" t="n">
        <f aca="false">IF(Y44="","",6-Y44)</f>
        <v>1</v>
      </c>
      <c r="AL44" s="11" t="n">
        <f aca="false">IF(COUNT(H44:O44)=8,SUM(H44:O44),"")</f>
        <v>30</v>
      </c>
      <c r="AM44" s="11" t="n">
        <f aca="false">IF(COUNT(P44:U44,AH44:AK44)=10,SUM(P44:U44,AH44:AK44),"")</f>
        <v>16</v>
      </c>
      <c r="AN44" s="11" t="n">
        <f aca="false">IF(COUNT(Z44:AG44)=8,SUM(Z44:AG44),"")</f>
        <v>29</v>
      </c>
      <c r="AO44" s="12" t="n">
        <f aca="false">IF(AL44="","",AL44/8)</f>
        <v>3.75</v>
      </c>
      <c r="AP44" s="12" t="n">
        <f aca="false">IF(AM44="","",AM44/10)</f>
        <v>1.6</v>
      </c>
      <c r="AQ44" s="12" t="n">
        <f aca="false">IF(AN44="","",AN44/8)</f>
        <v>3.625</v>
      </c>
      <c r="AR44" s="11" t="n">
        <f aca="false">IF(A44="","",IF(OR(F44=1,G44=1,AND(E44&lt;&gt;"",E44&lt;=2)),2,IF(AND(E44&gt;=3,G44=2,OR(F44=2,F44=3)),1,"")))</f>
        <v>1</v>
      </c>
      <c r="AS44" s="11" t="str">
        <f aca="false">IF(AR44=1,"טיפוסי",IF(AR44=2,"מתקשה",""))</f>
        <v>טיפוסי</v>
      </c>
      <c r="AT44" s="12" t="n">
        <f aca="false">IF(AR44=1,AO44,"")</f>
        <v>3.75</v>
      </c>
      <c r="AU44" s="12" t="str">
        <f aca="false">IF(AR44=2,AO44,"")</f>
        <v/>
      </c>
      <c r="AV44" s="12" t="n">
        <f aca="false">IF(AR44=1,AP44,"")</f>
        <v>1.6</v>
      </c>
      <c r="AW44" s="12" t="str">
        <f aca="false">IF(AR44=2,AP44,"")</f>
        <v/>
      </c>
      <c r="AX44" s="12" t="n">
        <f aca="false">IF(AR44=1,AQ44,"")</f>
        <v>3.625</v>
      </c>
      <c r="AY44" s="12" t="str">
        <f aca="false">IF(AR44=2,AQ44,"")</f>
        <v/>
      </c>
    </row>
    <row r="45" customFormat="false" ht="15" hidden="false" customHeight="true" outlineLevel="0" collapsed="false">
      <c r="A45" s="10" t="n">
        <v>43</v>
      </c>
      <c r="B45" s="10" t="n">
        <v>1</v>
      </c>
      <c r="C45" s="10" t="n">
        <v>3</v>
      </c>
      <c r="D45" s="10" t="n">
        <v>14</v>
      </c>
      <c r="E45" s="10" t="n">
        <v>3</v>
      </c>
      <c r="F45" s="10" t="n">
        <v>2</v>
      </c>
      <c r="G45" s="10" t="n">
        <v>2</v>
      </c>
      <c r="H45" s="10" t="n">
        <v>5</v>
      </c>
      <c r="I45" s="10" t="n">
        <v>3</v>
      </c>
      <c r="J45" s="10" t="n">
        <v>5</v>
      </c>
      <c r="K45" s="10" t="n">
        <v>5</v>
      </c>
      <c r="L45" s="10" t="n">
        <v>2</v>
      </c>
      <c r="M45" s="10" t="n">
        <v>5</v>
      </c>
      <c r="N45" s="10" t="n">
        <v>5</v>
      </c>
      <c r="O45" s="10" t="n">
        <v>5</v>
      </c>
      <c r="P45" s="10" t="n">
        <v>5</v>
      </c>
      <c r="Q45" s="10" t="n">
        <v>4</v>
      </c>
      <c r="R45" s="10" t="n">
        <v>3</v>
      </c>
      <c r="S45" s="10" t="n">
        <v>2</v>
      </c>
      <c r="T45" s="10" t="n">
        <v>2</v>
      </c>
      <c r="U45" s="10" t="n">
        <v>3</v>
      </c>
      <c r="V45" s="10" t="n">
        <v>1</v>
      </c>
      <c r="W45" s="10" t="n">
        <v>2</v>
      </c>
      <c r="X45" s="10" t="n">
        <v>5</v>
      </c>
      <c r="Y45" s="10" t="n">
        <v>3</v>
      </c>
      <c r="Z45" s="10" t="n">
        <v>5</v>
      </c>
      <c r="AA45" s="10" t="n">
        <v>4</v>
      </c>
      <c r="AB45" s="10" t="n">
        <v>4</v>
      </c>
      <c r="AC45" s="10" t="n">
        <v>5</v>
      </c>
      <c r="AD45" s="10" t="n">
        <v>4</v>
      </c>
      <c r="AE45" s="10" t="n">
        <v>4</v>
      </c>
      <c r="AF45" s="10" t="n">
        <v>5</v>
      </c>
      <c r="AG45" s="10" t="n">
        <v>4</v>
      </c>
      <c r="AH45" s="11" t="n">
        <f aca="false">IF(V45="","",6-V45)</f>
        <v>5</v>
      </c>
      <c r="AI45" s="11" t="n">
        <f aca="false">IF(W45="","",6-W45)</f>
        <v>4</v>
      </c>
      <c r="AJ45" s="11" t="n">
        <f aca="false">IF(X45="","",6-X45)</f>
        <v>1</v>
      </c>
      <c r="AK45" s="11" t="n">
        <f aca="false">IF(Y45="","",6-Y45)</f>
        <v>3</v>
      </c>
      <c r="AL45" s="11" t="n">
        <f aca="false">IF(COUNT(H45:O45)=8,SUM(H45:O45),"")</f>
        <v>35</v>
      </c>
      <c r="AM45" s="11" t="n">
        <f aca="false">IF(COUNT(P45:U45,AH45:AK45)=10,SUM(P45:U45,AH45:AK45),"")</f>
        <v>32</v>
      </c>
      <c r="AN45" s="11" t="n">
        <f aca="false">IF(COUNT(Z45:AG45)=8,SUM(Z45:AG45),"")</f>
        <v>35</v>
      </c>
      <c r="AO45" s="12" t="n">
        <f aca="false">IF(AL45="","",AL45/8)</f>
        <v>4.375</v>
      </c>
      <c r="AP45" s="12" t="n">
        <f aca="false">IF(AM45="","",AM45/10)</f>
        <v>3.2</v>
      </c>
      <c r="AQ45" s="12" t="n">
        <f aca="false">IF(AN45="","",AN45/8)</f>
        <v>4.375</v>
      </c>
      <c r="AR45" s="11" t="n">
        <f aca="false">IF(A45="","",IF(OR(F45=1,G45=1,AND(E45&lt;&gt;"",E45&lt;=2)),2,IF(AND(E45&gt;=3,G45=2,OR(F45=2,F45=3)),1,"")))</f>
        <v>1</v>
      </c>
      <c r="AS45" s="11" t="str">
        <f aca="false">IF(AR45=1,"טיפוסי",IF(AR45=2,"מתקשה",""))</f>
        <v>טיפוסי</v>
      </c>
      <c r="AT45" s="12" t="n">
        <f aca="false">IF(AR45=1,AO45,"")</f>
        <v>4.375</v>
      </c>
      <c r="AU45" s="12" t="str">
        <f aca="false">IF(AR45=2,AO45,"")</f>
        <v/>
      </c>
      <c r="AV45" s="12" t="n">
        <f aca="false">IF(AR45=1,AP45,"")</f>
        <v>3.2</v>
      </c>
      <c r="AW45" s="12" t="str">
        <f aca="false">IF(AR45=2,AP45,"")</f>
        <v/>
      </c>
      <c r="AX45" s="12" t="n">
        <f aca="false">IF(AR45=1,AQ45,"")</f>
        <v>4.375</v>
      </c>
      <c r="AY45" s="12" t="str">
        <f aca="false">IF(AR45=2,AQ45,"")</f>
        <v/>
      </c>
    </row>
    <row r="46" customFormat="false" ht="15" hidden="false" customHeight="true" outlineLevel="0" collapsed="false">
      <c r="A46" s="10" t="n">
        <v>44</v>
      </c>
      <c r="B46" s="10" t="n">
        <v>2</v>
      </c>
      <c r="C46" s="10" t="n">
        <v>3</v>
      </c>
      <c r="D46" s="10" t="n">
        <v>15</v>
      </c>
      <c r="E46" s="10" t="n">
        <v>3</v>
      </c>
      <c r="F46" s="10" t="n">
        <v>1</v>
      </c>
      <c r="G46" s="10" t="n">
        <v>2</v>
      </c>
      <c r="H46" s="10" t="n">
        <v>4</v>
      </c>
      <c r="I46" s="10" t="n">
        <v>4</v>
      </c>
      <c r="J46" s="10" t="n">
        <v>5</v>
      </c>
      <c r="K46" s="10" t="n">
        <v>5</v>
      </c>
      <c r="L46" s="10" t="n">
        <v>5</v>
      </c>
      <c r="M46" s="10" t="n">
        <v>5</v>
      </c>
      <c r="N46" s="10" t="n">
        <v>5</v>
      </c>
      <c r="O46" s="10" t="n">
        <v>5</v>
      </c>
      <c r="P46" s="10" t="n">
        <v>5</v>
      </c>
      <c r="Q46" s="10" t="n">
        <v>5</v>
      </c>
      <c r="R46" s="10" t="n">
        <v>5</v>
      </c>
      <c r="S46" s="10" t="n">
        <v>4</v>
      </c>
      <c r="T46" s="10" t="n">
        <v>4</v>
      </c>
      <c r="U46" s="10" t="n">
        <v>5</v>
      </c>
      <c r="V46" s="10" t="n">
        <v>1</v>
      </c>
      <c r="W46" s="10" t="n">
        <v>1</v>
      </c>
      <c r="X46" s="10" t="n">
        <v>1</v>
      </c>
      <c r="Y46" s="10" t="n">
        <v>2</v>
      </c>
      <c r="Z46" s="10" t="n">
        <v>3</v>
      </c>
      <c r="AA46" s="10" t="n">
        <v>3</v>
      </c>
      <c r="AB46" s="10" t="n">
        <v>3</v>
      </c>
      <c r="AC46" s="10" t="n">
        <v>5</v>
      </c>
      <c r="AD46" s="10" t="n">
        <v>4</v>
      </c>
      <c r="AE46" s="10" t="n">
        <v>3</v>
      </c>
      <c r="AF46" s="10" t="n">
        <v>2</v>
      </c>
      <c r="AG46" s="10" t="n">
        <v>2</v>
      </c>
      <c r="AH46" s="11" t="n">
        <f aca="false">IF(V46="","",6-V46)</f>
        <v>5</v>
      </c>
      <c r="AI46" s="11" t="n">
        <f aca="false">IF(W46="","",6-W46)</f>
        <v>5</v>
      </c>
      <c r="AJ46" s="11" t="n">
        <f aca="false">IF(X46="","",6-X46)</f>
        <v>5</v>
      </c>
      <c r="AK46" s="11" t="n">
        <f aca="false">IF(Y46="","",6-Y46)</f>
        <v>4</v>
      </c>
      <c r="AL46" s="11" t="n">
        <f aca="false">IF(COUNT(H46:O46)=8,SUM(H46:O46),"")</f>
        <v>38</v>
      </c>
      <c r="AM46" s="11" t="n">
        <f aca="false">IF(COUNT(P46:U46,AH46:AK46)=10,SUM(P46:U46,AH46:AK46),"")</f>
        <v>47</v>
      </c>
      <c r="AN46" s="11" t="n">
        <f aca="false">IF(COUNT(Z46:AG46)=8,SUM(Z46:AG46),"")</f>
        <v>25</v>
      </c>
      <c r="AO46" s="12" t="n">
        <f aca="false">IF(AL46="","",AL46/8)</f>
        <v>4.75</v>
      </c>
      <c r="AP46" s="12" t="n">
        <f aca="false">IF(AM46="","",AM46/10)</f>
        <v>4.7</v>
      </c>
      <c r="AQ46" s="12" t="n">
        <f aca="false">IF(AN46="","",AN46/8)</f>
        <v>3.125</v>
      </c>
      <c r="AR46" s="11" t="n">
        <f aca="false">IF(A46="","",IF(OR(F46=1,G46=1,AND(E46&lt;&gt;"",E46&lt;=2)),2,IF(AND(E46&gt;=3,G46=2,OR(F46=2,F46=3)),1,"")))</f>
        <v>2</v>
      </c>
      <c r="AS46" s="11" t="str">
        <f aca="false">IF(AR46=1,"טיפוסי",IF(AR46=2,"מתקשה",""))</f>
        <v>מתקשה</v>
      </c>
      <c r="AT46" s="12" t="str">
        <f aca="false">IF(AR46=1,AO46,"")</f>
        <v/>
      </c>
      <c r="AU46" s="12" t="n">
        <f aca="false">IF(AR46=2,AO46,"")</f>
        <v>4.75</v>
      </c>
      <c r="AV46" s="12" t="str">
        <f aca="false">IF(AR46=1,AP46,"")</f>
        <v/>
      </c>
      <c r="AW46" s="12" t="n">
        <f aca="false">IF(AR46=2,AP46,"")</f>
        <v>4.7</v>
      </c>
      <c r="AX46" s="12" t="str">
        <f aca="false">IF(AR46=1,AQ46,"")</f>
        <v/>
      </c>
      <c r="AY46" s="12" t="n">
        <f aca="false">IF(AR46=2,AQ46,"")</f>
        <v>3.125</v>
      </c>
    </row>
    <row r="47" customFormat="false" ht="15" hidden="false" customHeight="true" outlineLevel="0" collapsed="false">
      <c r="A47" s="10" t="n">
        <v>45</v>
      </c>
      <c r="B47" s="10" t="n">
        <v>1</v>
      </c>
      <c r="C47" s="10" t="n">
        <v>1</v>
      </c>
      <c r="D47" s="10" t="n">
        <v>13</v>
      </c>
      <c r="E47" s="10" t="n">
        <v>3</v>
      </c>
      <c r="F47" s="10" t="n">
        <v>2</v>
      </c>
      <c r="G47" s="10" t="n">
        <v>2</v>
      </c>
      <c r="H47" s="10" t="n">
        <v>4</v>
      </c>
      <c r="I47" s="10" t="n">
        <v>4</v>
      </c>
      <c r="J47" s="10" t="n">
        <v>3</v>
      </c>
      <c r="K47" s="10" t="n">
        <v>5</v>
      </c>
      <c r="L47" s="10" t="n">
        <v>3</v>
      </c>
      <c r="M47" s="10" t="n">
        <v>3</v>
      </c>
      <c r="N47" s="10" t="n">
        <v>2</v>
      </c>
      <c r="O47" s="10" t="n">
        <v>4</v>
      </c>
      <c r="P47" s="10" t="n">
        <v>2</v>
      </c>
      <c r="Q47" s="10" t="n">
        <v>3</v>
      </c>
      <c r="R47" s="10" t="n">
        <v>3</v>
      </c>
      <c r="S47" s="10" t="n">
        <v>1</v>
      </c>
      <c r="T47" s="10" t="n">
        <v>4</v>
      </c>
      <c r="U47" s="10" t="n">
        <v>3</v>
      </c>
      <c r="V47" s="10" t="n">
        <v>3</v>
      </c>
      <c r="W47" s="10" t="n">
        <v>3</v>
      </c>
      <c r="X47" s="10" t="n">
        <v>3</v>
      </c>
      <c r="Y47" s="10" t="n">
        <v>2</v>
      </c>
      <c r="Z47" s="10" t="n">
        <v>3</v>
      </c>
      <c r="AA47" s="10" t="n">
        <v>4</v>
      </c>
      <c r="AB47" s="10" t="n">
        <v>4</v>
      </c>
      <c r="AC47" s="10" t="n">
        <v>4</v>
      </c>
      <c r="AD47" s="10" t="n">
        <v>4</v>
      </c>
      <c r="AE47" s="10" t="n">
        <v>5</v>
      </c>
      <c r="AF47" s="10" t="n">
        <v>5</v>
      </c>
      <c r="AG47" s="10" t="n">
        <v>5</v>
      </c>
      <c r="AH47" s="11" t="n">
        <f aca="false">IF(V47="","",6-V47)</f>
        <v>3</v>
      </c>
      <c r="AI47" s="11" t="n">
        <f aca="false">IF(W47="","",6-W47)</f>
        <v>3</v>
      </c>
      <c r="AJ47" s="11" t="n">
        <f aca="false">IF(X47="","",6-X47)</f>
        <v>3</v>
      </c>
      <c r="AK47" s="11" t="n">
        <f aca="false">IF(Y47="","",6-Y47)</f>
        <v>4</v>
      </c>
      <c r="AL47" s="11" t="n">
        <f aca="false">IF(COUNT(H47:O47)=8,SUM(H47:O47),"")</f>
        <v>28</v>
      </c>
      <c r="AM47" s="11" t="n">
        <f aca="false">IF(COUNT(P47:U47,AH47:AK47)=10,SUM(P47:U47,AH47:AK47),"")</f>
        <v>29</v>
      </c>
      <c r="AN47" s="11" t="n">
        <f aca="false">IF(COUNT(Z47:AG47)=8,SUM(Z47:AG47),"")</f>
        <v>34</v>
      </c>
      <c r="AO47" s="12" t="n">
        <f aca="false">IF(AL47="","",AL47/8)</f>
        <v>3.5</v>
      </c>
      <c r="AP47" s="12" t="n">
        <f aca="false">IF(AM47="","",AM47/10)</f>
        <v>2.9</v>
      </c>
      <c r="AQ47" s="12" t="n">
        <f aca="false">IF(AN47="","",AN47/8)</f>
        <v>4.25</v>
      </c>
      <c r="AR47" s="11" t="n">
        <f aca="false">IF(A47="","",IF(OR(F47=1,G47=1,AND(E47&lt;&gt;"",E47&lt;=2)),2,IF(AND(E47&gt;=3,G47=2,OR(F47=2,F47=3)),1,"")))</f>
        <v>1</v>
      </c>
      <c r="AS47" s="11" t="str">
        <f aca="false">IF(AR47=1,"טיפוסי",IF(AR47=2,"מתקשה",""))</f>
        <v>טיפוסי</v>
      </c>
      <c r="AT47" s="12" t="n">
        <f aca="false">IF(AR47=1,AO47,"")</f>
        <v>3.5</v>
      </c>
      <c r="AU47" s="12" t="str">
        <f aca="false">IF(AR47=2,AO47,"")</f>
        <v/>
      </c>
      <c r="AV47" s="12" t="n">
        <f aca="false">IF(AR47=1,AP47,"")</f>
        <v>2.9</v>
      </c>
      <c r="AW47" s="12" t="str">
        <f aca="false">IF(AR47=2,AP47,"")</f>
        <v/>
      </c>
      <c r="AX47" s="12" t="n">
        <f aca="false">IF(AR47=1,AQ47,"")</f>
        <v>4.25</v>
      </c>
      <c r="AY47" s="12" t="str">
        <f aca="false">IF(AR47=2,AQ47,"")</f>
        <v/>
      </c>
    </row>
    <row r="48" customFormat="false" ht="15" hidden="false" customHeight="true" outlineLevel="0" collapsed="false">
      <c r="A48" s="10" t="n">
        <v>46</v>
      </c>
      <c r="B48" s="10" t="n">
        <v>1</v>
      </c>
      <c r="C48" s="10" t="n">
        <v>2</v>
      </c>
      <c r="D48" s="10" t="n">
        <v>14</v>
      </c>
      <c r="E48" s="10" t="n">
        <v>3</v>
      </c>
      <c r="F48" s="10" t="n">
        <v>2</v>
      </c>
      <c r="G48" s="10" t="n">
        <v>2</v>
      </c>
      <c r="H48" s="10" t="n">
        <v>4</v>
      </c>
      <c r="I48" s="10" t="n">
        <v>3</v>
      </c>
      <c r="J48" s="10" t="n">
        <v>4</v>
      </c>
      <c r="K48" s="10" t="n">
        <v>3</v>
      </c>
      <c r="L48" s="10" t="n">
        <v>5</v>
      </c>
      <c r="M48" s="10" t="n">
        <v>4</v>
      </c>
      <c r="N48" s="10" t="n">
        <v>5</v>
      </c>
      <c r="O48" s="10" t="n">
        <v>4</v>
      </c>
      <c r="P48" s="10" t="n">
        <v>5</v>
      </c>
      <c r="Q48" s="10" t="n">
        <v>5</v>
      </c>
      <c r="R48" s="10" t="n">
        <v>5</v>
      </c>
      <c r="S48" s="10" t="n">
        <v>5</v>
      </c>
      <c r="T48" s="10" t="n">
        <v>5</v>
      </c>
      <c r="U48" s="10" t="n">
        <v>4</v>
      </c>
      <c r="V48" s="10" t="n">
        <v>1</v>
      </c>
      <c r="W48" s="10" t="n">
        <v>2</v>
      </c>
      <c r="X48" s="10" t="n">
        <v>3</v>
      </c>
      <c r="Y48" s="10" t="n">
        <v>1</v>
      </c>
      <c r="Z48" s="10" t="n">
        <v>4</v>
      </c>
      <c r="AA48" s="10" t="n">
        <v>4</v>
      </c>
      <c r="AB48" s="10" t="n">
        <v>5</v>
      </c>
      <c r="AC48" s="10" t="n">
        <v>4</v>
      </c>
      <c r="AD48" s="10" t="n">
        <v>5</v>
      </c>
      <c r="AE48" s="10" t="n">
        <v>5</v>
      </c>
      <c r="AF48" s="10" t="n">
        <v>5</v>
      </c>
      <c r="AG48" s="10" t="n">
        <v>5</v>
      </c>
      <c r="AH48" s="11" t="n">
        <f aca="false">IF(V48="","",6-V48)</f>
        <v>5</v>
      </c>
      <c r="AI48" s="11" t="n">
        <f aca="false">IF(W48="","",6-W48)</f>
        <v>4</v>
      </c>
      <c r="AJ48" s="11" t="n">
        <f aca="false">IF(X48="","",6-X48)</f>
        <v>3</v>
      </c>
      <c r="AK48" s="11" t="n">
        <f aca="false">IF(Y48="","",6-Y48)</f>
        <v>5</v>
      </c>
      <c r="AL48" s="11" t="n">
        <f aca="false">IF(COUNT(H48:O48)=8,SUM(H48:O48),"")</f>
        <v>32</v>
      </c>
      <c r="AM48" s="11" t="n">
        <f aca="false">IF(COUNT(P48:U48,AH48:AK48)=10,SUM(P48:U48,AH48:AK48),"")</f>
        <v>46</v>
      </c>
      <c r="AN48" s="11" t="n">
        <f aca="false">IF(COUNT(Z48:AG48)=8,SUM(Z48:AG48),"")</f>
        <v>37</v>
      </c>
      <c r="AO48" s="12" t="n">
        <f aca="false">IF(AL48="","",AL48/8)</f>
        <v>4</v>
      </c>
      <c r="AP48" s="12" t="n">
        <f aca="false">IF(AM48="","",AM48/10)</f>
        <v>4.6</v>
      </c>
      <c r="AQ48" s="12" t="n">
        <f aca="false">IF(AN48="","",AN48/8)</f>
        <v>4.625</v>
      </c>
      <c r="AR48" s="11" t="n">
        <f aca="false">IF(A48="","",IF(OR(F48=1,G48=1,AND(E48&lt;&gt;"",E48&lt;=2)),2,IF(AND(E48&gt;=3,G48=2,OR(F48=2,F48=3)),1,"")))</f>
        <v>1</v>
      </c>
      <c r="AS48" s="11" t="str">
        <f aca="false">IF(AR48=1,"טיפוסי",IF(AR48=2,"מתקשה",""))</f>
        <v>טיפוסי</v>
      </c>
      <c r="AT48" s="12" t="n">
        <f aca="false">IF(AR48=1,AO48,"")</f>
        <v>4</v>
      </c>
      <c r="AU48" s="12" t="str">
        <f aca="false">IF(AR48=2,AO48,"")</f>
        <v/>
      </c>
      <c r="AV48" s="12" t="n">
        <f aca="false">IF(AR48=1,AP48,"")</f>
        <v>4.6</v>
      </c>
      <c r="AW48" s="12" t="str">
        <f aca="false">IF(AR48=2,AP48,"")</f>
        <v/>
      </c>
      <c r="AX48" s="12" t="n">
        <f aca="false">IF(AR48=1,AQ48,"")</f>
        <v>4.625</v>
      </c>
      <c r="AY48" s="12" t="str">
        <f aca="false">IF(AR48=2,AQ48,"")</f>
        <v/>
      </c>
    </row>
    <row r="49" customFormat="false" ht="15" hidden="false" customHeight="true" outlineLevel="0" collapsed="false">
      <c r="A49" s="10" t="n">
        <v>47</v>
      </c>
      <c r="B49" s="10" t="n">
        <v>2</v>
      </c>
      <c r="C49" s="10" t="n">
        <v>1</v>
      </c>
      <c r="D49" s="10" t="n">
        <v>13</v>
      </c>
      <c r="E49" s="10" t="n">
        <v>2</v>
      </c>
      <c r="F49" s="10" t="n">
        <v>2</v>
      </c>
      <c r="G49" s="10" t="n">
        <v>2</v>
      </c>
      <c r="H49" s="10" t="n">
        <v>4</v>
      </c>
      <c r="I49" s="10" t="n">
        <v>5</v>
      </c>
      <c r="J49" s="10" t="n">
        <v>4</v>
      </c>
      <c r="K49" s="10" t="n">
        <v>5</v>
      </c>
      <c r="L49" s="10" t="n">
        <v>4</v>
      </c>
      <c r="M49" s="10" t="n">
        <v>5</v>
      </c>
      <c r="N49" s="10" t="n">
        <v>5</v>
      </c>
      <c r="O49" s="10" t="n">
        <v>3</v>
      </c>
      <c r="P49" s="10" t="n">
        <v>5</v>
      </c>
      <c r="Q49" s="10" t="n">
        <v>5</v>
      </c>
      <c r="R49" s="10" t="n">
        <v>5</v>
      </c>
      <c r="S49" s="10" t="n">
        <v>3</v>
      </c>
      <c r="T49" s="10" t="n">
        <v>5</v>
      </c>
      <c r="U49" s="10"/>
      <c r="V49" s="10" t="n">
        <v>1</v>
      </c>
      <c r="W49" s="10" t="n">
        <v>2</v>
      </c>
      <c r="X49" s="10" t="n">
        <v>1</v>
      </c>
      <c r="Y49" s="10" t="n">
        <v>1</v>
      </c>
      <c r="Z49" s="10" t="n">
        <v>2</v>
      </c>
      <c r="AA49" s="10" t="n">
        <v>2</v>
      </c>
      <c r="AB49" s="10" t="n">
        <v>2</v>
      </c>
      <c r="AC49" s="10" t="n">
        <v>2</v>
      </c>
      <c r="AD49" s="10" t="n">
        <v>2</v>
      </c>
      <c r="AE49" s="10" t="n">
        <v>3</v>
      </c>
      <c r="AF49" s="10" t="n">
        <v>2</v>
      </c>
      <c r="AG49" s="10" t="n">
        <v>2</v>
      </c>
      <c r="AH49" s="11" t="n">
        <f aca="false">IF(V49="","",6-V49)</f>
        <v>5</v>
      </c>
      <c r="AI49" s="11" t="n">
        <f aca="false">IF(W49="","",6-W49)</f>
        <v>4</v>
      </c>
      <c r="AJ49" s="11" t="n">
        <f aca="false">IF(X49="","",6-X49)</f>
        <v>5</v>
      </c>
      <c r="AK49" s="11" t="n">
        <f aca="false">IF(Y49="","",6-Y49)</f>
        <v>5</v>
      </c>
      <c r="AL49" s="11" t="n">
        <f aca="false">IF(COUNT(H49:O49)=8,SUM(H49:O49),"")</f>
        <v>35</v>
      </c>
      <c r="AM49" s="11" t="str">
        <f aca="false">IF(COUNT(P49:U49,AH49:AK49)=10,SUM(P49:U49,AH49:AK49),"")</f>
        <v/>
      </c>
      <c r="AN49" s="11" t="n">
        <f aca="false">IF(COUNT(Z49:AG49)=8,SUM(Z49:AG49),"")</f>
        <v>17</v>
      </c>
      <c r="AO49" s="12" t="n">
        <f aca="false">IF(AL49="","",AL49/8)</f>
        <v>4.375</v>
      </c>
      <c r="AP49" s="12" t="str">
        <f aca="false">IF(AM49="","",AM49/10)</f>
        <v/>
      </c>
      <c r="AQ49" s="12" t="n">
        <f aca="false">IF(AN49="","",AN49/8)</f>
        <v>2.125</v>
      </c>
      <c r="AR49" s="11" t="n">
        <f aca="false">IF(A49="","",IF(OR(F49=1,G49=1,AND(E49&lt;&gt;"",E49&lt;=2)),2,IF(AND(E49&gt;=3,G49=2,OR(F49=2,F49=3)),1,"")))</f>
        <v>2</v>
      </c>
      <c r="AS49" s="11" t="str">
        <f aca="false">IF(AR49=1,"טיפוסי",IF(AR49=2,"מתקשה",""))</f>
        <v>מתקשה</v>
      </c>
      <c r="AT49" s="12" t="str">
        <f aca="false">IF(AR49=1,AO49,"")</f>
        <v/>
      </c>
      <c r="AU49" s="12" t="n">
        <f aca="false">IF(AR49=2,AO49,"")</f>
        <v>4.375</v>
      </c>
      <c r="AV49" s="12" t="str">
        <f aca="false">IF(AR49=1,AP49,"")</f>
        <v/>
      </c>
      <c r="AW49" s="12" t="str">
        <f aca="false">IF(AR49=2,AP49,"")</f>
        <v/>
      </c>
      <c r="AX49" s="12" t="str">
        <f aca="false">IF(AR49=1,AQ49,"")</f>
        <v/>
      </c>
      <c r="AY49" s="12" t="n">
        <f aca="false">IF(AR49=2,AQ49,"")</f>
        <v>2.125</v>
      </c>
    </row>
    <row r="50" customFormat="false" ht="15" hidden="false" customHeight="true" outlineLevel="0" collapsed="false">
      <c r="A50" s="10" t="n">
        <v>48</v>
      </c>
      <c r="B50" s="10" t="n">
        <v>2</v>
      </c>
      <c r="C50" s="10" t="n">
        <v>1</v>
      </c>
      <c r="D50" s="10" t="n">
        <v>12</v>
      </c>
      <c r="E50" s="10" t="n">
        <v>3</v>
      </c>
      <c r="F50" s="10" t="n">
        <v>3</v>
      </c>
      <c r="G50" s="10" t="n">
        <v>2</v>
      </c>
      <c r="H50" s="10" t="n">
        <v>3</v>
      </c>
      <c r="I50" s="10" t="n">
        <v>3</v>
      </c>
      <c r="J50" s="10" t="n">
        <v>4</v>
      </c>
      <c r="K50" s="10" t="n">
        <v>3</v>
      </c>
      <c r="L50" s="10" t="n">
        <v>2</v>
      </c>
      <c r="M50" s="10" t="n">
        <v>4</v>
      </c>
      <c r="N50" s="10" t="n">
        <v>4</v>
      </c>
      <c r="O50" s="10" t="n">
        <v>3</v>
      </c>
      <c r="P50" s="10" t="n">
        <v>5</v>
      </c>
      <c r="Q50" s="10" t="n">
        <v>2</v>
      </c>
      <c r="R50" s="10" t="n">
        <v>4</v>
      </c>
      <c r="S50" s="10" t="n">
        <v>2</v>
      </c>
      <c r="T50" s="10" t="n">
        <v>4</v>
      </c>
      <c r="U50" s="10" t="n">
        <v>3</v>
      </c>
      <c r="V50" s="10" t="n">
        <v>3</v>
      </c>
      <c r="W50" s="10" t="n">
        <v>3</v>
      </c>
      <c r="X50" s="10" t="n">
        <v>4</v>
      </c>
      <c r="Y50" s="10" t="n">
        <v>3</v>
      </c>
      <c r="Z50" s="10" t="n">
        <v>3</v>
      </c>
      <c r="AA50" s="10" t="n">
        <v>4</v>
      </c>
      <c r="AB50" s="10" t="n">
        <v>3</v>
      </c>
      <c r="AC50" s="10" t="n">
        <v>2</v>
      </c>
      <c r="AD50" s="10" t="n">
        <v>2</v>
      </c>
      <c r="AE50" s="10" t="n">
        <v>2</v>
      </c>
      <c r="AF50" s="10" t="n">
        <v>2</v>
      </c>
      <c r="AG50" s="10" t="n">
        <v>4</v>
      </c>
      <c r="AH50" s="11" t="n">
        <f aca="false">IF(V50="","",6-V50)</f>
        <v>3</v>
      </c>
      <c r="AI50" s="11" t="n">
        <f aca="false">IF(W50="","",6-W50)</f>
        <v>3</v>
      </c>
      <c r="AJ50" s="11" t="n">
        <f aca="false">IF(X50="","",6-X50)</f>
        <v>2</v>
      </c>
      <c r="AK50" s="11" t="n">
        <f aca="false">IF(Y50="","",6-Y50)</f>
        <v>3</v>
      </c>
      <c r="AL50" s="11" t="n">
        <f aca="false">IF(COUNT(H50:O50)=8,SUM(H50:O50),"")</f>
        <v>26</v>
      </c>
      <c r="AM50" s="11" t="n">
        <f aca="false">IF(COUNT(P50:U50,AH50:AK50)=10,SUM(P50:U50,AH50:AK50),"")</f>
        <v>31</v>
      </c>
      <c r="AN50" s="11" t="n">
        <f aca="false">IF(COUNT(Z50:AG50)=8,SUM(Z50:AG50),"")</f>
        <v>22</v>
      </c>
      <c r="AO50" s="12" t="n">
        <f aca="false">IF(AL50="","",AL50/8)</f>
        <v>3.25</v>
      </c>
      <c r="AP50" s="12" t="n">
        <f aca="false">IF(AM50="","",AM50/10)</f>
        <v>3.1</v>
      </c>
      <c r="AQ50" s="12" t="n">
        <f aca="false">IF(AN50="","",AN50/8)</f>
        <v>2.75</v>
      </c>
      <c r="AR50" s="11" t="n">
        <f aca="false">IF(A50="","",IF(OR(F50=1,G50=1,AND(E50&lt;&gt;"",E50&lt;=2)),2,IF(AND(E50&gt;=3,G50=2,OR(F50=2,F50=3)),1,"")))</f>
        <v>1</v>
      </c>
      <c r="AS50" s="11" t="str">
        <f aca="false">IF(AR50=1,"טיפוסי",IF(AR50=2,"מתקשה",""))</f>
        <v>טיפוסי</v>
      </c>
      <c r="AT50" s="12" t="n">
        <f aca="false">IF(AR50=1,AO50,"")</f>
        <v>3.25</v>
      </c>
      <c r="AU50" s="12" t="str">
        <f aca="false">IF(AR50=2,AO50,"")</f>
        <v/>
      </c>
      <c r="AV50" s="12" t="n">
        <f aca="false">IF(AR50=1,AP50,"")</f>
        <v>3.1</v>
      </c>
      <c r="AW50" s="12" t="str">
        <f aca="false">IF(AR50=2,AP50,"")</f>
        <v/>
      </c>
      <c r="AX50" s="12" t="n">
        <f aca="false">IF(AR50=1,AQ50,"")</f>
        <v>2.75</v>
      </c>
      <c r="AY50" s="12" t="str">
        <f aca="false">IF(AR50=2,AQ50,"")</f>
        <v/>
      </c>
    </row>
    <row r="51" customFormat="false" ht="15" hidden="false" customHeight="true" outlineLevel="0" collapsed="false">
      <c r="A51" s="10" t="n">
        <v>49</v>
      </c>
      <c r="B51" s="10" t="n">
        <v>1</v>
      </c>
      <c r="C51" s="10" t="n">
        <v>2</v>
      </c>
      <c r="D51" s="10" t="n">
        <v>14</v>
      </c>
      <c r="E51" s="10" t="n">
        <v>2</v>
      </c>
      <c r="F51" s="10" t="n">
        <v>1</v>
      </c>
      <c r="G51" s="10" t="n">
        <v>1</v>
      </c>
      <c r="H51" s="10" t="n">
        <v>2</v>
      </c>
      <c r="I51" s="10" t="n">
        <v>1</v>
      </c>
      <c r="J51" s="10" t="n">
        <v>2</v>
      </c>
      <c r="K51" s="10" t="n">
        <v>4</v>
      </c>
      <c r="L51" s="10" t="n">
        <v>3</v>
      </c>
      <c r="M51" s="10" t="n">
        <v>1</v>
      </c>
      <c r="N51" s="10" t="n">
        <v>3</v>
      </c>
      <c r="O51" s="10" t="n">
        <v>2</v>
      </c>
      <c r="P51" s="10" t="n">
        <v>5</v>
      </c>
      <c r="Q51" s="10" t="n">
        <v>4</v>
      </c>
      <c r="R51" s="10" t="n">
        <v>2</v>
      </c>
      <c r="S51" s="10" t="n">
        <v>3</v>
      </c>
      <c r="T51" s="10" t="n">
        <v>4</v>
      </c>
      <c r="U51" s="10" t="n">
        <v>3</v>
      </c>
      <c r="V51" s="10" t="n">
        <v>3</v>
      </c>
      <c r="W51" s="10" t="n">
        <v>4</v>
      </c>
      <c r="X51" s="10" t="n">
        <v>3</v>
      </c>
      <c r="Y51" s="10" t="n">
        <v>2</v>
      </c>
      <c r="Z51" s="10" t="n">
        <v>2</v>
      </c>
      <c r="AA51" s="10" t="n">
        <v>3</v>
      </c>
      <c r="AB51" s="10" t="n">
        <v>3</v>
      </c>
      <c r="AC51" s="10" t="n">
        <v>3</v>
      </c>
      <c r="AD51" s="10" t="n">
        <v>5</v>
      </c>
      <c r="AE51" s="10" t="n">
        <v>2</v>
      </c>
      <c r="AF51" s="10" t="n">
        <v>4</v>
      </c>
      <c r="AG51" s="10" t="n">
        <v>3</v>
      </c>
      <c r="AH51" s="11" t="n">
        <f aca="false">IF(V51="","",6-V51)</f>
        <v>3</v>
      </c>
      <c r="AI51" s="11" t="n">
        <f aca="false">IF(W51="","",6-W51)</f>
        <v>2</v>
      </c>
      <c r="AJ51" s="11" t="n">
        <f aca="false">IF(X51="","",6-X51)</f>
        <v>3</v>
      </c>
      <c r="AK51" s="11" t="n">
        <f aca="false">IF(Y51="","",6-Y51)</f>
        <v>4</v>
      </c>
      <c r="AL51" s="11" t="n">
        <f aca="false">IF(COUNT(H51:O51)=8,SUM(H51:O51),"")</f>
        <v>18</v>
      </c>
      <c r="AM51" s="11" t="n">
        <f aca="false">IF(COUNT(P51:U51,AH51:AK51)=10,SUM(P51:U51,AH51:AK51),"")</f>
        <v>33</v>
      </c>
      <c r="AN51" s="11" t="n">
        <f aca="false">IF(COUNT(Z51:AG51)=8,SUM(Z51:AG51),"")</f>
        <v>25</v>
      </c>
      <c r="AO51" s="12" t="n">
        <f aca="false">IF(AL51="","",AL51/8)</f>
        <v>2.25</v>
      </c>
      <c r="AP51" s="12" t="n">
        <f aca="false">IF(AM51="","",AM51/10)</f>
        <v>3.3</v>
      </c>
      <c r="AQ51" s="12" t="n">
        <f aca="false">IF(AN51="","",AN51/8)</f>
        <v>3.125</v>
      </c>
      <c r="AR51" s="11" t="n">
        <f aca="false">IF(A51="","",IF(OR(F51=1,G51=1,AND(E51&lt;&gt;"",E51&lt;=2)),2,IF(AND(E51&gt;=3,G51=2,OR(F51=2,F51=3)),1,"")))</f>
        <v>2</v>
      </c>
      <c r="AS51" s="11" t="str">
        <f aca="false">IF(AR51=1,"טיפוסי",IF(AR51=2,"מתקשה",""))</f>
        <v>מתקשה</v>
      </c>
      <c r="AT51" s="12" t="str">
        <f aca="false">IF(AR51=1,AO51,"")</f>
        <v/>
      </c>
      <c r="AU51" s="12" t="n">
        <f aca="false">IF(AR51=2,AO51,"")</f>
        <v>2.25</v>
      </c>
      <c r="AV51" s="12" t="str">
        <f aca="false">IF(AR51=1,AP51,"")</f>
        <v/>
      </c>
      <c r="AW51" s="12" t="n">
        <f aca="false">IF(AR51=2,AP51,"")</f>
        <v>3.3</v>
      </c>
      <c r="AX51" s="12" t="str">
        <f aca="false">IF(AR51=1,AQ51,"")</f>
        <v/>
      </c>
      <c r="AY51" s="12" t="n">
        <f aca="false">IF(AR51=2,AQ51,"")</f>
        <v>3.125</v>
      </c>
    </row>
    <row r="52" customFormat="false" ht="15" hidden="false" customHeight="true" outlineLevel="0" collapsed="false">
      <c r="A52" s="10" t="n">
        <v>50</v>
      </c>
      <c r="B52" s="10" t="n">
        <v>1</v>
      </c>
      <c r="C52" s="10" t="n">
        <v>1</v>
      </c>
      <c r="D52" s="10" t="n">
        <v>13</v>
      </c>
      <c r="E52" s="10" t="n">
        <v>4</v>
      </c>
      <c r="F52" s="10" t="n">
        <v>2</v>
      </c>
      <c r="G52" s="10" t="n">
        <v>2</v>
      </c>
      <c r="H52" s="10" t="n">
        <v>2</v>
      </c>
      <c r="I52" s="10" t="n">
        <v>1</v>
      </c>
      <c r="J52" s="10" t="n">
        <v>3</v>
      </c>
      <c r="K52" s="10" t="n">
        <v>3</v>
      </c>
      <c r="L52" s="10" t="n">
        <v>1</v>
      </c>
      <c r="M52" s="10" t="n">
        <v>4</v>
      </c>
      <c r="N52" s="10" t="n">
        <v>1</v>
      </c>
      <c r="O52" s="10" t="n">
        <v>2</v>
      </c>
      <c r="P52" s="10" t="n">
        <v>2</v>
      </c>
      <c r="Q52" s="10" t="n">
        <v>1</v>
      </c>
      <c r="R52" s="10" t="n">
        <v>1</v>
      </c>
      <c r="S52" s="10" t="n">
        <v>3</v>
      </c>
      <c r="T52" s="10" t="n">
        <v>2</v>
      </c>
      <c r="U52" s="10" t="n">
        <v>1</v>
      </c>
      <c r="V52" s="10" t="n">
        <v>4</v>
      </c>
      <c r="W52" s="10" t="n">
        <v>5</v>
      </c>
      <c r="X52" s="10" t="n">
        <v>4</v>
      </c>
      <c r="Y52" s="10" t="n">
        <v>5</v>
      </c>
      <c r="Z52" s="10" t="n">
        <v>3</v>
      </c>
      <c r="AA52" s="10" t="n">
        <v>2</v>
      </c>
      <c r="AB52" s="10" t="n">
        <v>2</v>
      </c>
      <c r="AC52" s="10" t="n">
        <v>3</v>
      </c>
      <c r="AD52" s="10" t="n">
        <v>4</v>
      </c>
      <c r="AE52" s="10" t="n">
        <v>3</v>
      </c>
      <c r="AF52" s="10" t="n">
        <v>2</v>
      </c>
      <c r="AG52" s="10" t="n">
        <v>2</v>
      </c>
      <c r="AH52" s="11" t="n">
        <f aca="false">IF(V52="","",6-V52)</f>
        <v>2</v>
      </c>
      <c r="AI52" s="11" t="n">
        <f aca="false">IF(W52="","",6-W52)</f>
        <v>1</v>
      </c>
      <c r="AJ52" s="11" t="n">
        <f aca="false">IF(X52="","",6-X52)</f>
        <v>2</v>
      </c>
      <c r="AK52" s="11" t="n">
        <f aca="false">IF(Y52="","",6-Y52)</f>
        <v>1</v>
      </c>
      <c r="AL52" s="11" t="n">
        <f aca="false">IF(COUNT(H52:O52)=8,SUM(H52:O52),"")</f>
        <v>17</v>
      </c>
      <c r="AM52" s="11" t="n">
        <f aca="false">IF(COUNT(P52:U52,AH52:AK52)=10,SUM(P52:U52,AH52:AK52),"")</f>
        <v>16</v>
      </c>
      <c r="AN52" s="11" t="n">
        <f aca="false">IF(COUNT(Z52:AG52)=8,SUM(Z52:AG52),"")</f>
        <v>21</v>
      </c>
      <c r="AO52" s="12" t="n">
        <f aca="false">IF(AL52="","",AL52/8)</f>
        <v>2.125</v>
      </c>
      <c r="AP52" s="12" t="n">
        <f aca="false">IF(AM52="","",AM52/10)</f>
        <v>1.6</v>
      </c>
      <c r="AQ52" s="12" t="n">
        <f aca="false">IF(AN52="","",AN52/8)</f>
        <v>2.625</v>
      </c>
      <c r="AR52" s="11" t="n">
        <f aca="false">IF(A52="","",IF(OR(F52=1,G52=1,AND(E52&lt;&gt;"",E52&lt;=2)),2,IF(AND(E52&gt;=3,G52=2,OR(F52=2,F52=3)),1,"")))</f>
        <v>1</v>
      </c>
      <c r="AS52" s="11" t="str">
        <f aca="false">IF(AR52=1,"טיפוסי",IF(AR52=2,"מתקשה",""))</f>
        <v>טיפוסי</v>
      </c>
      <c r="AT52" s="12" t="n">
        <f aca="false">IF(AR52=1,AO52,"")</f>
        <v>2.125</v>
      </c>
      <c r="AU52" s="12" t="str">
        <f aca="false">IF(AR52=2,AO52,"")</f>
        <v/>
      </c>
      <c r="AV52" s="12" t="n">
        <f aca="false">IF(AR52=1,AP52,"")</f>
        <v>1.6</v>
      </c>
      <c r="AW52" s="12" t="str">
        <f aca="false">IF(AR52=2,AP52,"")</f>
        <v/>
      </c>
      <c r="AX52" s="12" t="n">
        <f aca="false">IF(AR52=1,AQ52,"")</f>
        <v>2.625</v>
      </c>
      <c r="AY52" s="12" t="str">
        <f aca="false">IF(AR52=2,AQ52,"")</f>
        <v/>
      </c>
    </row>
    <row r="53" customFormat="false" ht="15" hidden="false" customHeight="true" outlineLevel="0" collapsed="false">
      <c r="A53" s="10" t="n">
        <v>51</v>
      </c>
      <c r="B53" s="10" t="n">
        <v>1</v>
      </c>
      <c r="C53" s="10" t="n">
        <v>3</v>
      </c>
      <c r="D53" s="10" t="n">
        <v>15</v>
      </c>
      <c r="E53" s="10" t="n">
        <v>3</v>
      </c>
      <c r="F53" s="10" t="n">
        <v>2</v>
      </c>
      <c r="G53" s="10" t="n">
        <v>2</v>
      </c>
      <c r="H53" s="10" t="n">
        <v>4</v>
      </c>
      <c r="I53" s="10" t="n">
        <v>5</v>
      </c>
      <c r="J53" s="10" t="n">
        <v>5</v>
      </c>
      <c r="K53" s="10" t="n">
        <v>5</v>
      </c>
      <c r="L53" s="10" t="n">
        <v>4</v>
      </c>
      <c r="M53" s="10" t="n">
        <v>5</v>
      </c>
      <c r="N53" s="10" t="n">
        <v>5</v>
      </c>
      <c r="O53" s="10" t="n">
        <v>5</v>
      </c>
      <c r="P53" s="10" t="n">
        <v>3</v>
      </c>
      <c r="Q53" s="10" t="n">
        <v>4</v>
      </c>
      <c r="R53" s="10" t="n">
        <v>2</v>
      </c>
      <c r="S53" s="10" t="n">
        <v>3</v>
      </c>
      <c r="T53" s="10" t="n">
        <v>3</v>
      </c>
      <c r="U53" s="10" t="n">
        <v>4</v>
      </c>
      <c r="V53" s="10" t="n">
        <v>5</v>
      </c>
      <c r="W53" s="10" t="n">
        <v>1</v>
      </c>
      <c r="X53" s="10" t="n">
        <v>2</v>
      </c>
      <c r="Y53" s="10" t="n">
        <v>2</v>
      </c>
      <c r="Z53" s="10" t="n">
        <v>3</v>
      </c>
      <c r="AA53" s="10" t="n">
        <v>3</v>
      </c>
      <c r="AB53" s="10" t="n">
        <v>3</v>
      </c>
      <c r="AC53" s="10" t="n">
        <v>3</v>
      </c>
      <c r="AD53" s="10" t="n">
        <v>3</v>
      </c>
      <c r="AE53" s="10" t="n">
        <v>4</v>
      </c>
      <c r="AF53" s="10" t="n">
        <v>3</v>
      </c>
      <c r="AG53" s="10" t="n">
        <v>5</v>
      </c>
      <c r="AH53" s="11" t="n">
        <f aca="false">IF(V53="","",6-V53)</f>
        <v>1</v>
      </c>
      <c r="AI53" s="11" t="n">
        <f aca="false">IF(W53="","",6-W53)</f>
        <v>5</v>
      </c>
      <c r="AJ53" s="11" t="n">
        <f aca="false">IF(X53="","",6-X53)</f>
        <v>4</v>
      </c>
      <c r="AK53" s="11" t="n">
        <f aca="false">IF(Y53="","",6-Y53)</f>
        <v>4</v>
      </c>
      <c r="AL53" s="11" t="n">
        <f aca="false">IF(COUNT(H53:O53)=8,SUM(H53:O53),"")</f>
        <v>38</v>
      </c>
      <c r="AM53" s="11" t="n">
        <f aca="false">IF(COUNT(P53:U53,AH53:AK53)=10,SUM(P53:U53,AH53:AK53),"")</f>
        <v>33</v>
      </c>
      <c r="AN53" s="11" t="n">
        <f aca="false">IF(COUNT(Z53:AG53)=8,SUM(Z53:AG53),"")</f>
        <v>27</v>
      </c>
      <c r="AO53" s="12" t="n">
        <f aca="false">IF(AL53="","",AL53/8)</f>
        <v>4.75</v>
      </c>
      <c r="AP53" s="12" t="n">
        <f aca="false">IF(AM53="","",AM53/10)</f>
        <v>3.3</v>
      </c>
      <c r="AQ53" s="12" t="n">
        <f aca="false">IF(AN53="","",AN53/8)</f>
        <v>3.375</v>
      </c>
      <c r="AR53" s="11" t="n">
        <f aca="false">IF(A53="","",IF(OR(F53=1,G53=1,AND(E53&lt;&gt;"",E53&lt;=2)),2,IF(AND(E53&gt;=3,G53=2,OR(F53=2,F53=3)),1,"")))</f>
        <v>1</v>
      </c>
      <c r="AS53" s="11" t="str">
        <f aca="false">IF(AR53=1,"טיפוסי",IF(AR53=2,"מתקשה",""))</f>
        <v>טיפוסי</v>
      </c>
      <c r="AT53" s="12" t="n">
        <f aca="false">IF(AR53=1,AO53,"")</f>
        <v>4.75</v>
      </c>
      <c r="AU53" s="12" t="str">
        <f aca="false">IF(AR53=2,AO53,"")</f>
        <v/>
      </c>
      <c r="AV53" s="12" t="n">
        <f aca="false">IF(AR53=1,AP53,"")</f>
        <v>3.3</v>
      </c>
      <c r="AW53" s="12" t="str">
        <f aca="false">IF(AR53=2,AP53,"")</f>
        <v/>
      </c>
      <c r="AX53" s="12" t="n">
        <f aca="false">IF(AR53=1,AQ53,"")</f>
        <v>3.375</v>
      </c>
      <c r="AY53" s="12" t="str">
        <f aca="false">IF(AR53=2,AQ53,"")</f>
        <v/>
      </c>
    </row>
    <row r="54" customFormat="false" ht="15" hidden="false" customHeight="true" outlineLevel="0" collapsed="false">
      <c r="A54" s="10" t="n">
        <v>52</v>
      </c>
      <c r="B54" s="10" t="n">
        <v>2</v>
      </c>
      <c r="C54" s="10" t="n">
        <v>2</v>
      </c>
      <c r="D54" s="10" t="n">
        <v>14</v>
      </c>
      <c r="E54" s="10" t="n">
        <v>3</v>
      </c>
      <c r="F54" s="10" t="n">
        <v>2</v>
      </c>
      <c r="G54" s="10" t="n">
        <v>2</v>
      </c>
      <c r="H54" s="10" t="n">
        <v>4</v>
      </c>
      <c r="I54" s="10" t="n">
        <v>4</v>
      </c>
      <c r="J54" s="10" t="n">
        <v>3</v>
      </c>
      <c r="K54" s="10" t="n">
        <v>2</v>
      </c>
      <c r="L54" s="10" t="n">
        <v>3</v>
      </c>
      <c r="M54" s="10" t="n">
        <v>5</v>
      </c>
      <c r="N54" s="10" t="n">
        <v>5</v>
      </c>
      <c r="O54" s="10" t="n">
        <v>5</v>
      </c>
      <c r="P54" s="10" t="n">
        <v>5</v>
      </c>
      <c r="Q54" s="10" t="n">
        <v>4</v>
      </c>
      <c r="R54" s="10" t="n">
        <v>3</v>
      </c>
      <c r="S54" s="10" t="n">
        <v>2</v>
      </c>
      <c r="T54" s="10" t="n">
        <v>3</v>
      </c>
      <c r="U54" s="10" t="n">
        <v>3</v>
      </c>
      <c r="V54" s="10" t="n">
        <v>5</v>
      </c>
      <c r="W54" s="10" t="n">
        <v>1</v>
      </c>
      <c r="X54" s="10" t="n">
        <v>3</v>
      </c>
      <c r="Y54" s="10" t="n">
        <v>3</v>
      </c>
      <c r="Z54" s="10" t="n">
        <v>4</v>
      </c>
      <c r="AA54" s="10" t="n">
        <v>4</v>
      </c>
      <c r="AB54" s="10" t="n">
        <v>4</v>
      </c>
      <c r="AC54" s="10" t="n">
        <v>3</v>
      </c>
      <c r="AD54" s="10" t="n">
        <v>5</v>
      </c>
      <c r="AE54" s="10" t="n">
        <v>4</v>
      </c>
      <c r="AF54" s="10" t="n">
        <v>5</v>
      </c>
      <c r="AG54" s="10" t="n">
        <v>3</v>
      </c>
      <c r="AH54" s="11" t="n">
        <f aca="false">IF(V54="","",6-V54)</f>
        <v>1</v>
      </c>
      <c r="AI54" s="11" t="n">
        <f aca="false">IF(W54="","",6-W54)</f>
        <v>5</v>
      </c>
      <c r="AJ54" s="11" t="n">
        <f aca="false">IF(X54="","",6-X54)</f>
        <v>3</v>
      </c>
      <c r="AK54" s="11" t="n">
        <f aca="false">IF(Y54="","",6-Y54)</f>
        <v>3</v>
      </c>
      <c r="AL54" s="11" t="n">
        <f aca="false">IF(COUNT(H54:O54)=8,SUM(H54:O54),"")</f>
        <v>31</v>
      </c>
      <c r="AM54" s="11" t="n">
        <f aca="false">IF(COUNT(P54:U54,AH54:AK54)=10,SUM(P54:U54,AH54:AK54),"")</f>
        <v>32</v>
      </c>
      <c r="AN54" s="11" t="n">
        <f aca="false">IF(COUNT(Z54:AG54)=8,SUM(Z54:AG54),"")</f>
        <v>32</v>
      </c>
      <c r="AO54" s="12" t="n">
        <f aca="false">IF(AL54="","",AL54/8)</f>
        <v>3.875</v>
      </c>
      <c r="AP54" s="12" t="n">
        <f aca="false">IF(AM54="","",AM54/10)</f>
        <v>3.2</v>
      </c>
      <c r="AQ54" s="12" t="n">
        <f aca="false">IF(AN54="","",AN54/8)</f>
        <v>4</v>
      </c>
      <c r="AR54" s="11" t="n">
        <f aca="false">IF(A54="","",IF(OR(F54=1,G54=1,AND(E54&lt;&gt;"",E54&lt;=2)),2,IF(AND(E54&gt;=3,G54=2,OR(F54=2,F54=3)),1,"")))</f>
        <v>1</v>
      </c>
      <c r="AS54" s="11" t="str">
        <f aca="false">IF(AR54=1,"טיפוסי",IF(AR54=2,"מתקשה",""))</f>
        <v>טיפוסי</v>
      </c>
      <c r="AT54" s="12" t="n">
        <f aca="false">IF(AR54=1,AO54,"")</f>
        <v>3.875</v>
      </c>
      <c r="AU54" s="12" t="str">
        <f aca="false">IF(AR54=2,AO54,"")</f>
        <v/>
      </c>
      <c r="AV54" s="12" t="n">
        <f aca="false">IF(AR54=1,AP54,"")</f>
        <v>3.2</v>
      </c>
      <c r="AW54" s="12" t="str">
        <f aca="false">IF(AR54=2,AP54,"")</f>
        <v/>
      </c>
      <c r="AX54" s="12" t="n">
        <f aca="false">IF(AR54=1,AQ54,"")</f>
        <v>4</v>
      </c>
      <c r="AY54" s="12" t="str">
        <f aca="false">IF(AR54=2,AQ54,"")</f>
        <v/>
      </c>
    </row>
    <row r="55" customFormat="false" ht="15" hidden="false" customHeight="true" outlineLevel="0" collapsed="false">
      <c r="A55" s="10" t="n">
        <v>53</v>
      </c>
      <c r="B55" s="10" t="n">
        <v>1</v>
      </c>
      <c r="C55" s="10" t="n">
        <v>3</v>
      </c>
      <c r="D55" s="10" t="n">
        <v>15</v>
      </c>
      <c r="E55" s="10" t="n">
        <v>3</v>
      </c>
      <c r="F55" s="10" t="n">
        <v>2</v>
      </c>
      <c r="G55" s="10" t="n">
        <v>2</v>
      </c>
      <c r="H55" s="10" t="n">
        <v>3</v>
      </c>
      <c r="I55" s="10" t="n">
        <v>4</v>
      </c>
      <c r="J55" s="10" t="n">
        <v>4</v>
      </c>
      <c r="K55" s="10" t="n">
        <v>1</v>
      </c>
      <c r="L55" s="10" t="n">
        <v>5</v>
      </c>
      <c r="M55" s="10" t="n">
        <v>5</v>
      </c>
      <c r="N55" s="10" t="n">
        <v>3</v>
      </c>
      <c r="O55" s="10" t="n">
        <v>2</v>
      </c>
      <c r="P55" s="10" t="n">
        <v>4</v>
      </c>
      <c r="Q55" s="10" t="n">
        <v>5</v>
      </c>
      <c r="R55" s="10" t="n">
        <v>3</v>
      </c>
      <c r="S55" s="10" t="n">
        <v>3</v>
      </c>
      <c r="T55" s="10" t="n">
        <v>4</v>
      </c>
      <c r="U55" s="10" t="n">
        <v>4</v>
      </c>
      <c r="V55" s="10" t="n">
        <v>3</v>
      </c>
      <c r="W55" s="10" t="n">
        <v>3</v>
      </c>
      <c r="X55" s="10" t="n">
        <v>3</v>
      </c>
      <c r="Y55" s="10" t="n">
        <v>2</v>
      </c>
      <c r="Z55" s="10" t="n">
        <v>3</v>
      </c>
      <c r="AA55" s="10" t="n">
        <v>2</v>
      </c>
      <c r="AB55" s="10" t="n">
        <v>4</v>
      </c>
      <c r="AC55" s="10" t="n">
        <v>5</v>
      </c>
      <c r="AD55" s="10" t="n">
        <v>4</v>
      </c>
      <c r="AE55" s="10" t="n">
        <v>4</v>
      </c>
      <c r="AF55" s="10" t="n">
        <v>4</v>
      </c>
      <c r="AG55" s="10" t="n">
        <v>4</v>
      </c>
      <c r="AH55" s="11" t="n">
        <f aca="false">IF(V55="","",6-V55)</f>
        <v>3</v>
      </c>
      <c r="AI55" s="11" t="n">
        <f aca="false">IF(W55="","",6-W55)</f>
        <v>3</v>
      </c>
      <c r="AJ55" s="11" t="n">
        <f aca="false">IF(X55="","",6-X55)</f>
        <v>3</v>
      </c>
      <c r="AK55" s="11" t="n">
        <f aca="false">IF(Y55="","",6-Y55)</f>
        <v>4</v>
      </c>
      <c r="AL55" s="11" t="n">
        <f aca="false">IF(COUNT(H55:O55)=8,SUM(H55:O55),"")</f>
        <v>27</v>
      </c>
      <c r="AM55" s="11" t="n">
        <f aca="false">IF(COUNT(P55:U55,AH55:AK55)=10,SUM(P55:U55,AH55:AK55),"")</f>
        <v>36</v>
      </c>
      <c r="AN55" s="11" t="n">
        <f aca="false">IF(COUNT(Z55:AG55)=8,SUM(Z55:AG55),"")</f>
        <v>30</v>
      </c>
      <c r="AO55" s="12" t="n">
        <f aca="false">IF(AL55="","",AL55/8)</f>
        <v>3.375</v>
      </c>
      <c r="AP55" s="12" t="n">
        <f aca="false">IF(AM55="","",AM55/10)</f>
        <v>3.6</v>
      </c>
      <c r="AQ55" s="12" t="n">
        <f aca="false">IF(AN55="","",AN55/8)</f>
        <v>3.75</v>
      </c>
      <c r="AR55" s="11" t="n">
        <f aca="false">IF(A55="","",IF(OR(F55=1,G55=1,AND(E55&lt;&gt;"",E55&lt;=2)),2,IF(AND(E55&gt;=3,G55=2,OR(F55=2,F55=3)),1,"")))</f>
        <v>1</v>
      </c>
      <c r="AS55" s="11" t="str">
        <f aca="false">IF(AR55=1,"טיפוסי",IF(AR55=2,"מתקשה",""))</f>
        <v>טיפוסי</v>
      </c>
      <c r="AT55" s="12" t="n">
        <f aca="false">IF(AR55=1,AO55,"")</f>
        <v>3.375</v>
      </c>
      <c r="AU55" s="12" t="str">
        <f aca="false">IF(AR55=2,AO55,"")</f>
        <v/>
      </c>
      <c r="AV55" s="12" t="n">
        <f aca="false">IF(AR55=1,AP55,"")</f>
        <v>3.6</v>
      </c>
      <c r="AW55" s="12" t="str">
        <f aca="false">IF(AR55=2,AP55,"")</f>
        <v/>
      </c>
      <c r="AX55" s="12" t="n">
        <f aca="false">IF(AR55=1,AQ55,"")</f>
        <v>3.75</v>
      </c>
      <c r="AY55" s="12" t="str">
        <f aca="false">IF(AR55=2,AQ55,"")</f>
        <v/>
      </c>
    </row>
    <row r="56" customFormat="false" ht="15" hidden="false" customHeight="true" outlineLevel="0" collapsed="false">
      <c r="A56" s="10" t="n">
        <v>54</v>
      </c>
      <c r="B56" s="10" t="n">
        <v>1</v>
      </c>
      <c r="C56" s="10" t="n">
        <v>2</v>
      </c>
      <c r="D56" s="10" t="n">
        <v>14</v>
      </c>
      <c r="E56" s="10" t="n">
        <v>2</v>
      </c>
      <c r="F56" s="10" t="n">
        <v>3</v>
      </c>
      <c r="G56" s="10" t="n">
        <v>1</v>
      </c>
      <c r="H56" s="10" t="n">
        <v>3</v>
      </c>
      <c r="I56" s="10" t="n">
        <v>4</v>
      </c>
      <c r="J56" s="10" t="n">
        <v>4</v>
      </c>
      <c r="K56" s="10" t="n">
        <v>5</v>
      </c>
      <c r="L56" s="10" t="n">
        <v>3</v>
      </c>
      <c r="M56" s="10" t="n">
        <v>3</v>
      </c>
      <c r="N56" s="10" t="n">
        <v>5</v>
      </c>
      <c r="O56" s="10" t="n">
        <v>5</v>
      </c>
      <c r="P56" s="10" t="n">
        <v>3</v>
      </c>
      <c r="Q56" s="10" t="n">
        <v>4</v>
      </c>
      <c r="R56" s="10" t="n">
        <v>3</v>
      </c>
      <c r="S56" s="10" t="n">
        <v>2</v>
      </c>
      <c r="T56" s="10" t="n">
        <v>3</v>
      </c>
      <c r="U56" s="10" t="n">
        <v>4</v>
      </c>
      <c r="V56" s="10" t="n">
        <v>4</v>
      </c>
      <c r="W56" s="10" t="n">
        <v>3</v>
      </c>
      <c r="X56" s="10" t="n">
        <v>5</v>
      </c>
      <c r="Y56" s="10" t="n">
        <v>3</v>
      </c>
      <c r="Z56" s="10" t="n">
        <v>2</v>
      </c>
      <c r="AA56" s="10" t="n">
        <v>4</v>
      </c>
      <c r="AB56" s="10" t="n">
        <v>4</v>
      </c>
      <c r="AC56" s="10" t="n">
        <v>4</v>
      </c>
      <c r="AD56" s="10" t="n">
        <v>3</v>
      </c>
      <c r="AE56" s="10" t="n">
        <v>4</v>
      </c>
      <c r="AF56" s="10" t="n">
        <v>4</v>
      </c>
      <c r="AG56" s="10" t="n">
        <v>2</v>
      </c>
      <c r="AH56" s="11" t="n">
        <f aca="false">IF(V56="","",6-V56)</f>
        <v>2</v>
      </c>
      <c r="AI56" s="11" t="n">
        <f aca="false">IF(W56="","",6-W56)</f>
        <v>3</v>
      </c>
      <c r="AJ56" s="11" t="n">
        <f aca="false">IF(X56="","",6-X56)</f>
        <v>1</v>
      </c>
      <c r="AK56" s="11" t="n">
        <f aca="false">IF(Y56="","",6-Y56)</f>
        <v>3</v>
      </c>
      <c r="AL56" s="11" t="n">
        <f aca="false">IF(COUNT(H56:O56)=8,SUM(H56:O56),"")</f>
        <v>32</v>
      </c>
      <c r="AM56" s="11" t="n">
        <f aca="false">IF(COUNT(P56:U56,AH56:AK56)=10,SUM(P56:U56,AH56:AK56),"")</f>
        <v>28</v>
      </c>
      <c r="AN56" s="11" t="n">
        <f aca="false">IF(COUNT(Z56:AG56)=8,SUM(Z56:AG56),"")</f>
        <v>27</v>
      </c>
      <c r="AO56" s="12" t="n">
        <f aca="false">IF(AL56="","",AL56/8)</f>
        <v>4</v>
      </c>
      <c r="AP56" s="12" t="n">
        <f aca="false">IF(AM56="","",AM56/10)</f>
        <v>2.8</v>
      </c>
      <c r="AQ56" s="12" t="n">
        <f aca="false">IF(AN56="","",AN56/8)</f>
        <v>3.375</v>
      </c>
      <c r="AR56" s="11" t="n">
        <f aca="false">IF(A56="","",IF(OR(F56=1,G56=1,AND(E56&lt;&gt;"",E56&lt;=2)),2,IF(AND(E56&gt;=3,G56=2,OR(F56=2,F56=3)),1,"")))</f>
        <v>2</v>
      </c>
      <c r="AS56" s="11" t="str">
        <f aca="false">IF(AR56=1,"טיפוסי",IF(AR56=2,"מתקשה",""))</f>
        <v>מתקשה</v>
      </c>
      <c r="AT56" s="12" t="str">
        <f aca="false">IF(AR56=1,AO56,"")</f>
        <v/>
      </c>
      <c r="AU56" s="12" t="n">
        <f aca="false">IF(AR56=2,AO56,"")</f>
        <v>4</v>
      </c>
      <c r="AV56" s="12" t="str">
        <f aca="false">IF(AR56=1,AP56,"")</f>
        <v/>
      </c>
      <c r="AW56" s="12" t="n">
        <f aca="false">IF(AR56=2,AP56,"")</f>
        <v>2.8</v>
      </c>
      <c r="AX56" s="12" t="str">
        <f aca="false">IF(AR56=1,AQ56,"")</f>
        <v/>
      </c>
      <c r="AY56" s="12" t="n">
        <f aca="false">IF(AR56=2,AQ56,"")</f>
        <v>3.375</v>
      </c>
    </row>
    <row r="57" customFormat="false" ht="15" hidden="false" customHeight="true" outlineLevel="0" collapsed="false">
      <c r="A57" s="10" t="n">
        <v>55</v>
      </c>
      <c r="B57" s="10" t="n">
        <v>2</v>
      </c>
      <c r="C57" s="10" t="n">
        <v>1</v>
      </c>
      <c r="D57" s="10" t="n">
        <v>13</v>
      </c>
      <c r="E57" s="10" t="n">
        <v>3</v>
      </c>
      <c r="F57" s="10" t="n">
        <v>2</v>
      </c>
      <c r="G57" s="10" t="n">
        <v>2</v>
      </c>
      <c r="H57" s="10" t="n">
        <v>4</v>
      </c>
      <c r="I57" s="10" t="n">
        <v>3</v>
      </c>
      <c r="J57" s="10" t="n">
        <v>4</v>
      </c>
      <c r="K57" s="10" t="n">
        <v>4</v>
      </c>
      <c r="L57" s="10" t="n">
        <v>3</v>
      </c>
      <c r="M57" s="10" t="n">
        <v>3</v>
      </c>
      <c r="N57" s="10" t="n">
        <v>3</v>
      </c>
      <c r="O57" s="10" t="n">
        <v>3</v>
      </c>
      <c r="P57" s="10" t="n">
        <v>2</v>
      </c>
      <c r="Q57" s="10" t="n">
        <v>2</v>
      </c>
      <c r="R57" s="10" t="n">
        <v>3</v>
      </c>
      <c r="S57" s="10" t="n">
        <v>2</v>
      </c>
      <c r="T57" s="10" t="n">
        <v>3</v>
      </c>
      <c r="U57" s="10" t="n">
        <v>3</v>
      </c>
      <c r="V57" s="10" t="n">
        <v>5</v>
      </c>
      <c r="W57" s="10" t="n">
        <v>5</v>
      </c>
      <c r="X57" s="10" t="n">
        <v>5</v>
      </c>
      <c r="Y57" s="10" t="n">
        <v>4</v>
      </c>
      <c r="Z57" s="10" t="n">
        <v>3</v>
      </c>
      <c r="AA57" s="10" t="n">
        <v>3</v>
      </c>
      <c r="AB57" s="10" t="n">
        <v>3</v>
      </c>
      <c r="AC57" s="10" t="n">
        <v>4</v>
      </c>
      <c r="AD57" s="10" t="n">
        <v>4</v>
      </c>
      <c r="AE57" s="10" t="n">
        <v>3</v>
      </c>
      <c r="AF57" s="10" t="n">
        <v>4</v>
      </c>
      <c r="AG57" s="10" t="n">
        <v>2</v>
      </c>
      <c r="AH57" s="11" t="n">
        <f aca="false">IF(V57="","",6-V57)</f>
        <v>1</v>
      </c>
      <c r="AI57" s="11" t="n">
        <f aca="false">IF(W57="","",6-W57)</f>
        <v>1</v>
      </c>
      <c r="AJ57" s="11" t="n">
        <f aca="false">IF(X57="","",6-X57)</f>
        <v>1</v>
      </c>
      <c r="AK57" s="11" t="n">
        <f aca="false">IF(Y57="","",6-Y57)</f>
        <v>2</v>
      </c>
      <c r="AL57" s="11" t="n">
        <f aca="false">IF(COUNT(H57:O57)=8,SUM(H57:O57),"")</f>
        <v>27</v>
      </c>
      <c r="AM57" s="11" t="n">
        <f aca="false">IF(COUNT(P57:U57,AH57:AK57)=10,SUM(P57:U57,AH57:AK57),"")</f>
        <v>20</v>
      </c>
      <c r="AN57" s="11" t="n">
        <f aca="false">IF(COUNT(Z57:AG57)=8,SUM(Z57:AG57),"")</f>
        <v>26</v>
      </c>
      <c r="AO57" s="12" t="n">
        <f aca="false">IF(AL57="","",AL57/8)</f>
        <v>3.375</v>
      </c>
      <c r="AP57" s="12" t="n">
        <f aca="false">IF(AM57="","",AM57/10)</f>
        <v>2</v>
      </c>
      <c r="AQ57" s="12" t="n">
        <f aca="false">IF(AN57="","",AN57/8)</f>
        <v>3.25</v>
      </c>
      <c r="AR57" s="11" t="n">
        <f aca="false">IF(A57="","",IF(OR(F57=1,G57=1,AND(E57&lt;&gt;"",E57&lt;=2)),2,IF(AND(E57&gt;=3,G57=2,OR(F57=2,F57=3)),1,"")))</f>
        <v>1</v>
      </c>
      <c r="AS57" s="11" t="str">
        <f aca="false">IF(AR57=1,"טיפוסי",IF(AR57=2,"מתקשה",""))</f>
        <v>טיפוסי</v>
      </c>
      <c r="AT57" s="12" t="n">
        <f aca="false">IF(AR57=1,AO57,"")</f>
        <v>3.375</v>
      </c>
      <c r="AU57" s="12" t="str">
        <f aca="false">IF(AR57=2,AO57,"")</f>
        <v/>
      </c>
      <c r="AV57" s="12" t="n">
        <f aca="false">IF(AR57=1,AP57,"")</f>
        <v>2</v>
      </c>
      <c r="AW57" s="12" t="str">
        <f aca="false">IF(AR57=2,AP57,"")</f>
        <v/>
      </c>
      <c r="AX57" s="12" t="n">
        <f aca="false">IF(AR57=1,AQ57,"")</f>
        <v>3.25</v>
      </c>
      <c r="AY57" s="12" t="str">
        <f aca="false">IF(AR57=2,AQ57,"")</f>
        <v/>
      </c>
    </row>
    <row r="58" customFormat="false" ht="15" hidden="false" customHeight="true" outlineLevel="0" collapsed="false">
      <c r="A58" s="10" t="n">
        <v>56</v>
      </c>
      <c r="B58" s="10" t="n">
        <v>1</v>
      </c>
      <c r="C58" s="10" t="n">
        <v>1</v>
      </c>
      <c r="D58" s="10" t="n">
        <v>13</v>
      </c>
      <c r="E58" s="10" t="n">
        <v>3</v>
      </c>
      <c r="F58" s="10" t="n">
        <v>2</v>
      </c>
      <c r="G58" s="10" t="n">
        <v>2</v>
      </c>
      <c r="H58" s="10" t="n">
        <v>3</v>
      </c>
      <c r="I58" s="10" t="n">
        <v>3</v>
      </c>
      <c r="J58" s="10" t="n">
        <v>2</v>
      </c>
      <c r="K58" s="10" t="n">
        <v>5</v>
      </c>
      <c r="L58" s="10" t="n">
        <v>2</v>
      </c>
      <c r="M58" s="10" t="n">
        <v>3</v>
      </c>
      <c r="N58" s="10" t="n">
        <v>2</v>
      </c>
      <c r="O58" s="10" t="n">
        <v>4</v>
      </c>
      <c r="P58" s="10" t="n">
        <v>5</v>
      </c>
      <c r="Q58" s="10" t="n">
        <v>5</v>
      </c>
      <c r="R58" s="10" t="n">
        <v>5</v>
      </c>
      <c r="S58" s="10" t="n">
        <v>4</v>
      </c>
      <c r="T58" s="10" t="n">
        <v>2</v>
      </c>
      <c r="U58" s="10" t="n">
        <v>3</v>
      </c>
      <c r="V58" s="10" t="n">
        <v>1</v>
      </c>
      <c r="W58" s="10" t="n">
        <v>1</v>
      </c>
      <c r="X58" s="10" t="n">
        <v>1</v>
      </c>
      <c r="Y58" s="10" t="n">
        <v>2</v>
      </c>
      <c r="Z58" s="10" t="n">
        <v>5</v>
      </c>
      <c r="AA58" s="10" t="n">
        <v>5</v>
      </c>
      <c r="AB58" s="10" t="n">
        <v>4</v>
      </c>
      <c r="AC58" s="10" t="n">
        <v>4</v>
      </c>
      <c r="AD58" s="10" t="n">
        <v>3</v>
      </c>
      <c r="AE58" s="10" t="n">
        <v>4</v>
      </c>
      <c r="AF58" s="10" t="n">
        <v>5</v>
      </c>
      <c r="AG58" s="10" t="n">
        <v>4</v>
      </c>
      <c r="AH58" s="11" t="n">
        <f aca="false">IF(V58="","",6-V58)</f>
        <v>5</v>
      </c>
      <c r="AI58" s="11" t="n">
        <f aca="false">IF(W58="","",6-W58)</f>
        <v>5</v>
      </c>
      <c r="AJ58" s="11" t="n">
        <f aca="false">IF(X58="","",6-X58)</f>
        <v>5</v>
      </c>
      <c r="AK58" s="11" t="n">
        <f aca="false">IF(Y58="","",6-Y58)</f>
        <v>4</v>
      </c>
      <c r="AL58" s="11" t="n">
        <f aca="false">IF(COUNT(H58:O58)=8,SUM(H58:O58),"")</f>
        <v>24</v>
      </c>
      <c r="AM58" s="11" t="n">
        <f aca="false">IF(COUNT(P58:U58,AH58:AK58)=10,SUM(P58:U58,AH58:AK58),"")</f>
        <v>43</v>
      </c>
      <c r="AN58" s="11" t="n">
        <f aca="false">IF(COUNT(Z58:AG58)=8,SUM(Z58:AG58),"")</f>
        <v>34</v>
      </c>
      <c r="AO58" s="12" t="n">
        <f aca="false">IF(AL58="","",AL58/8)</f>
        <v>3</v>
      </c>
      <c r="AP58" s="12" t="n">
        <f aca="false">IF(AM58="","",AM58/10)</f>
        <v>4.3</v>
      </c>
      <c r="AQ58" s="12" t="n">
        <f aca="false">IF(AN58="","",AN58/8)</f>
        <v>4.25</v>
      </c>
      <c r="AR58" s="11" t="n">
        <f aca="false">IF(A58="","",IF(OR(F58=1,G58=1,AND(E58&lt;&gt;"",E58&lt;=2)),2,IF(AND(E58&gt;=3,G58=2,OR(F58=2,F58=3)),1,"")))</f>
        <v>1</v>
      </c>
      <c r="AS58" s="11" t="str">
        <f aca="false">IF(AR58=1,"טיפוסי",IF(AR58=2,"מתקשה",""))</f>
        <v>טיפוסי</v>
      </c>
      <c r="AT58" s="12" t="n">
        <f aca="false">IF(AR58=1,AO58,"")</f>
        <v>3</v>
      </c>
      <c r="AU58" s="12" t="str">
        <f aca="false">IF(AR58=2,AO58,"")</f>
        <v/>
      </c>
      <c r="AV58" s="12" t="n">
        <f aca="false">IF(AR58=1,AP58,"")</f>
        <v>4.3</v>
      </c>
      <c r="AW58" s="12" t="str">
        <f aca="false">IF(AR58=2,AP58,"")</f>
        <v/>
      </c>
      <c r="AX58" s="12" t="n">
        <f aca="false">IF(AR58=1,AQ58,"")</f>
        <v>4.25</v>
      </c>
      <c r="AY58" s="12" t="str">
        <f aca="false">IF(AR58=2,AQ58,"")</f>
        <v/>
      </c>
    </row>
    <row r="59" customFormat="false" ht="15" hidden="false" customHeight="true" outlineLevel="0" collapsed="false">
      <c r="A59" s="10" t="n">
        <v>57</v>
      </c>
      <c r="B59" s="10" t="n">
        <v>1</v>
      </c>
      <c r="C59" s="10" t="n">
        <v>3</v>
      </c>
      <c r="D59" s="10" t="n">
        <v>15</v>
      </c>
      <c r="E59" s="10" t="n">
        <v>3</v>
      </c>
      <c r="F59" s="10" t="n">
        <v>2</v>
      </c>
      <c r="G59" s="10" t="n">
        <v>2</v>
      </c>
      <c r="H59" s="10" t="n">
        <v>2</v>
      </c>
      <c r="I59" s="10" t="n">
        <v>4</v>
      </c>
      <c r="J59" s="10" t="n">
        <v>4</v>
      </c>
      <c r="K59" s="10" t="n">
        <v>3</v>
      </c>
      <c r="L59" s="10" t="n">
        <v>2</v>
      </c>
      <c r="M59" s="10" t="n">
        <v>4</v>
      </c>
      <c r="N59" s="10" t="n">
        <v>3</v>
      </c>
      <c r="O59" s="10" t="n">
        <v>5</v>
      </c>
      <c r="P59" s="10" t="n">
        <v>4</v>
      </c>
      <c r="Q59" s="10" t="n">
        <v>2</v>
      </c>
      <c r="R59" s="10" t="n">
        <v>3</v>
      </c>
      <c r="S59" s="10" t="n">
        <v>2</v>
      </c>
      <c r="T59" s="10" t="n">
        <v>3</v>
      </c>
      <c r="U59" s="10" t="n">
        <v>2</v>
      </c>
      <c r="V59" s="10" t="n">
        <v>2</v>
      </c>
      <c r="W59" s="10" t="n">
        <v>5</v>
      </c>
      <c r="X59" s="10" t="n">
        <v>2</v>
      </c>
      <c r="Y59" s="10" t="n">
        <v>4</v>
      </c>
      <c r="Z59" s="10" t="n">
        <v>4</v>
      </c>
      <c r="AA59" s="10" t="n">
        <v>3</v>
      </c>
      <c r="AB59" s="10" t="n">
        <v>3</v>
      </c>
      <c r="AC59" s="10" t="n">
        <v>4</v>
      </c>
      <c r="AD59" s="10" t="n">
        <v>2</v>
      </c>
      <c r="AE59" s="10" t="n">
        <v>3</v>
      </c>
      <c r="AF59" s="10" t="n">
        <v>3</v>
      </c>
      <c r="AG59" s="10" t="n">
        <v>3</v>
      </c>
      <c r="AH59" s="11" t="n">
        <f aca="false">IF(V59="","",6-V59)</f>
        <v>4</v>
      </c>
      <c r="AI59" s="11" t="n">
        <f aca="false">IF(W59="","",6-W59)</f>
        <v>1</v>
      </c>
      <c r="AJ59" s="11" t="n">
        <f aca="false">IF(X59="","",6-X59)</f>
        <v>4</v>
      </c>
      <c r="AK59" s="11" t="n">
        <f aca="false">IF(Y59="","",6-Y59)</f>
        <v>2</v>
      </c>
      <c r="AL59" s="11" t="n">
        <f aca="false">IF(COUNT(H59:O59)=8,SUM(H59:O59),"")</f>
        <v>27</v>
      </c>
      <c r="AM59" s="11" t="n">
        <f aca="false">IF(COUNT(P59:U59,AH59:AK59)=10,SUM(P59:U59,AH59:AK59),"")</f>
        <v>27</v>
      </c>
      <c r="AN59" s="11" t="n">
        <f aca="false">IF(COUNT(Z59:AG59)=8,SUM(Z59:AG59),"")</f>
        <v>25</v>
      </c>
      <c r="AO59" s="12" t="n">
        <f aca="false">IF(AL59="","",AL59/8)</f>
        <v>3.375</v>
      </c>
      <c r="AP59" s="12" t="n">
        <f aca="false">IF(AM59="","",AM59/10)</f>
        <v>2.7</v>
      </c>
      <c r="AQ59" s="12" t="n">
        <f aca="false">IF(AN59="","",AN59/8)</f>
        <v>3.125</v>
      </c>
      <c r="AR59" s="11" t="n">
        <f aca="false">IF(A59="","",IF(OR(F59=1,G59=1,AND(E59&lt;&gt;"",E59&lt;=2)),2,IF(AND(E59&gt;=3,G59=2,OR(F59=2,F59=3)),1,"")))</f>
        <v>1</v>
      </c>
      <c r="AS59" s="11" t="str">
        <f aca="false">IF(AR59=1,"טיפוסי",IF(AR59=2,"מתקשה",""))</f>
        <v>טיפוסי</v>
      </c>
      <c r="AT59" s="12" t="n">
        <f aca="false">IF(AR59=1,AO59,"")</f>
        <v>3.375</v>
      </c>
      <c r="AU59" s="12" t="str">
        <f aca="false">IF(AR59=2,AO59,"")</f>
        <v/>
      </c>
      <c r="AV59" s="12" t="n">
        <f aca="false">IF(AR59=1,AP59,"")</f>
        <v>2.7</v>
      </c>
      <c r="AW59" s="12" t="str">
        <f aca="false">IF(AR59=2,AP59,"")</f>
        <v/>
      </c>
      <c r="AX59" s="12" t="n">
        <f aca="false">IF(AR59=1,AQ59,"")</f>
        <v>3.125</v>
      </c>
      <c r="AY59" s="12" t="str">
        <f aca="false">IF(AR59=2,AQ59,"")</f>
        <v/>
      </c>
    </row>
    <row r="60" customFormat="false" ht="15" hidden="false" customHeight="true" outlineLevel="0" collapsed="false">
      <c r="A60" s="10" t="n">
        <v>58</v>
      </c>
      <c r="B60" s="10" t="n">
        <v>2</v>
      </c>
      <c r="C60" s="10" t="n">
        <v>1</v>
      </c>
      <c r="D60" s="10" t="n">
        <v>12</v>
      </c>
      <c r="E60" s="10" t="n">
        <v>3</v>
      </c>
      <c r="F60" s="10" t="n">
        <v>2</v>
      </c>
      <c r="G60" s="10" t="n">
        <v>2</v>
      </c>
      <c r="H60" s="10" t="n">
        <v>3</v>
      </c>
      <c r="I60" s="10" t="n">
        <v>5</v>
      </c>
      <c r="J60" s="10" t="n">
        <v>3</v>
      </c>
      <c r="K60" s="10" t="n">
        <v>5</v>
      </c>
      <c r="L60" s="10" t="n">
        <v>3</v>
      </c>
      <c r="M60" s="10" t="n">
        <v>5</v>
      </c>
      <c r="N60" s="10" t="n">
        <v>4</v>
      </c>
      <c r="O60" s="10" t="n">
        <v>3</v>
      </c>
      <c r="P60" s="10" t="n">
        <v>4</v>
      </c>
      <c r="Q60" s="10" t="n">
        <v>4</v>
      </c>
      <c r="R60" s="10" t="n">
        <v>3</v>
      </c>
      <c r="S60" s="10" t="n">
        <v>3</v>
      </c>
      <c r="T60" s="10" t="n">
        <v>3</v>
      </c>
      <c r="U60" s="10" t="n">
        <v>3</v>
      </c>
      <c r="V60" s="10" t="n">
        <v>3</v>
      </c>
      <c r="W60" s="10" t="n">
        <v>3</v>
      </c>
      <c r="X60" s="10" t="n">
        <v>3</v>
      </c>
      <c r="Y60" s="10" t="n">
        <v>4</v>
      </c>
      <c r="Z60" s="10" t="n">
        <v>5</v>
      </c>
      <c r="AA60" s="10" t="n">
        <v>3</v>
      </c>
      <c r="AB60" s="10" t="n">
        <v>2</v>
      </c>
      <c r="AC60" s="10" t="n">
        <v>4</v>
      </c>
      <c r="AD60" s="10" t="n">
        <v>4</v>
      </c>
      <c r="AE60" s="10" t="n">
        <v>4</v>
      </c>
      <c r="AF60" s="10" t="n">
        <v>4</v>
      </c>
      <c r="AG60" s="10" t="n">
        <v>3</v>
      </c>
      <c r="AH60" s="11" t="n">
        <f aca="false">IF(V60="","",6-V60)</f>
        <v>3</v>
      </c>
      <c r="AI60" s="11" t="n">
        <f aca="false">IF(W60="","",6-W60)</f>
        <v>3</v>
      </c>
      <c r="AJ60" s="11" t="n">
        <f aca="false">IF(X60="","",6-X60)</f>
        <v>3</v>
      </c>
      <c r="AK60" s="11" t="n">
        <f aca="false">IF(Y60="","",6-Y60)</f>
        <v>2</v>
      </c>
      <c r="AL60" s="11" t="n">
        <f aca="false">IF(COUNT(H60:O60)=8,SUM(H60:O60),"")</f>
        <v>31</v>
      </c>
      <c r="AM60" s="11" t="n">
        <f aca="false">IF(COUNT(P60:U60,AH60:AK60)=10,SUM(P60:U60,AH60:AK60),"")</f>
        <v>31</v>
      </c>
      <c r="AN60" s="11" t="n">
        <f aca="false">IF(COUNT(Z60:AG60)=8,SUM(Z60:AG60),"")</f>
        <v>29</v>
      </c>
      <c r="AO60" s="12" t="n">
        <f aca="false">IF(AL60="","",AL60/8)</f>
        <v>3.875</v>
      </c>
      <c r="AP60" s="12" t="n">
        <f aca="false">IF(AM60="","",AM60/10)</f>
        <v>3.1</v>
      </c>
      <c r="AQ60" s="12" t="n">
        <f aca="false">IF(AN60="","",AN60/8)</f>
        <v>3.625</v>
      </c>
      <c r="AR60" s="11" t="n">
        <f aca="false">IF(A60="","",IF(OR(F60=1,G60=1,AND(E60&lt;&gt;"",E60&lt;=2)),2,IF(AND(E60&gt;=3,G60=2,OR(F60=2,F60=3)),1,"")))</f>
        <v>1</v>
      </c>
      <c r="AS60" s="11" t="str">
        <f aca="false">IF(AR60=1,"טיפוסי",IF(AR60=2,"מתקשה",""))</f>
        <v>טיפוסי</v>
      </c>
      <c r="AT60" s="12" t="n">
        <f aca="false">IF(AR60=1,AO60,"")</f>
        <v>3.875</v>
      </c>
      <c r="AU60" s="12" t="str">
        <f aca="false">IF(AR60=2,AO60,"")</f>
        <v/>
      </c>
      <c r="AV60" s="12" t="n">
        <f aca="false">IF(AR60=1,AP60,"")</f>
        <v>3.1</v>
      </c>
      <c r="AW60" s="12" t="str">
        <f aca="false">IF(AR60=2,AP60,"")</f>
        <v/>
      </c>
      <c r="AX60" s="12" t="n">
        <f aca="false">IF(AR60=1,AQ60,"")</f>
        <v>3.625</v>
      </c>
      <c r="AY60" s="12" t="str">
        <f aca="false">IF(AR60=2,AQ60,"")</f>
        <v/>
      </c>
    </row>
    <row r="61" customFormat="false" ht="15" hidden="false" customHeight="true" outlineLevel="0" collapsed="false">
      <c r="A61" s="10" t="n">
        <v>59</v>
      </c>
      <c r="B61" s="10" t="n">
        <v>2</v>
      </c>
      <c r="C61" s="10" t="n">
        <v>3</v>
      </c>
      <c r="D61" s="10" t="n">
        <v>15</v>
      </c>
      <c r="E61" s="10" t="n">
        <v>3</v>
      </c>
      <c r="F61" s="10" t="n">
        <v>2</v>
      </c>
      <c r="G61" s="10" t="n">
        <v>2</v>
      </c>
      <c r="H61" s="10" t="n">
        <v>4</v>
      </c>
      <c r="I61" s="10" t="n">
        <v>3</v>
      </c>
      <c r="J61" s="10" t="n">
        <v>4</v>
      </c>
      <c r="K61" s="10" t="n">
        <v>4</v>
      </c>
      <c r="L61" s="10" t="n">
        <v>1</v>
      </c>
      <c r="M61" s="10" t="n">
        <v>4</v>
      </c>
      <c r="N61" s="10" t="n">
        <v>2</v>
      </c>
      <c r="O61" s="10" t="n">
        <v>4</v>
      </c>
      <c r="P61" s="10" t="n">
        <v>4</v>
      </c>
      <c r="Q61" s="10" t="n">
        <v>4</v>
      </c>
      <c r="R61" s="10" t="n">
        <v>5</v>
      </c>
      <c r="S61" s="10" t="n">
        <v>5</v>
      </c>
      <c r="T61" s="10" t="n">
        <v>4</v>
      </c>
      <c r="U61" s="10" t="n">
        <v>5</v>
      </c>
      <c r="V61" s="10" t="n">
        <v>2</v>
      </c>
      <c r="W61" s="10" t="n">
        <v>3</v>
      </c>
      <c r="X61" s="10" t="n">
        <v>3</v>
      </c>
      <c r="Y61" s="10" t="n">
        <v>3</v>
      </c>
      <c r="Z61" s="10" t="n">
        <v>5</v>
      </c>
      <c r="AA61" s="10" t="n">
        <v>4</v>
      </c>
      <c r="AB61" s="10" t="n">
        <v>4</v>
      </c>
      <c r="AC61" s="10" t="n">
        <v>5</v>
      </c>
      <c r="AD61" s="10" t="n">
        <v>5</v>
      </c>
      <c r="AE61" s="10" t="n">
        <v>3</v>
      </c>
      <c r="AF61" s="10" t="n">
        <v>4</v>
      </c>
      <c r="AG61" s="10" t="n">
        <v>5</v>
      </c>
      <c r="AH61" s="11" t="n">
        <f aca="false">IF(V61="","",6-V61)</f>
        <v>4</v>
      </c>
      <c r="AI61" s="11" t="n">
        <f aca="false">IF(W61="","",6-W61)</f>
        <v>3</v>
      </c>
      <c r="AJ61" s="11" t="n">
        <f aca="false">IF(X61="","",6-X61)</f>
        <v>3</v>
      </c>
      <c r="AK61" s="11" t="n">
        <f aca="false">IF(Y61="","",6-Y61)</f>
        <v>3</v>
      </c>
      <c r="AL61" s="11" t="n">
        <f aca="false">IF(COUNT(H61:O61)=8,SUM(H61:O61),"")</f>
        <v>26</v>
      </c>
      <c r="AM61" s="11" t="n">
        <f aca="false">IF(COUNT(P61:U61,AH61:AK61)=10,SUM(P61:U61,AH61:AK61),"")</f>
        <v>40</v>
      </c>
      <c r="AN61" s="11" t="n">
        <f aca="false">IF(COUNT(Z61:AG61)=8,SUM(Z61:AG61),"")</f>
        <v>35</v>
      </c>
      <c r="AO61" s="12" t="n">
        <f aca="false">IF(AL61="","",AL61/8)</f>
        <v>3.25</v>
      </c>
      <c r="AP61" s="12" t="n">
        <f aca="false">IF(AM61="","",AM61/10)</f>
        <v>4</v>
      </c>
      <c r="AQ61" s="12" t="n">
        <f aca="false">IF(AN61="","",AN61/8)</f>
        <v>4.375</v>
      </c>
      <c r="AR61" s="11" t="n">
        <f aca="false">IF(A61="","",IF(OR(F61=1,G61=1,AND(E61&lt;&gt;"",E61&lt;=2)),2,IF(AND(E61&gt;=3,G61=2,OR(F61=2,F61=3)),1,"")))</f>
        <v>1</v>
      </c>
      <c r="AS61" s="11" t="str">
        <f aca="false">IF(AR61=1,"טיפוסי",IF(AR61=2,"מתקשה",""))</f>
        <v>טיפוסי</v>
      </c>
      <c r="AT61" s="12" t="n">
        <f aca="false">IF(AR61=1,AO61,"")</f>
        <v>3.25</v>
      </c>
      <c r="AU61" s="12" t="str">
        <f aca="false">IF(AR61=2,AO61,"")</f>
        <v/>
      </c>
      <c r="AV61" s="12" t="n">
        <f aca="false">IF(AR61=1,AP61,"")</f>
        <v>4</v>
      </c>
      <c r="AW61" s="12" t="str">
        <f aca="false">IF(AR61=2,AP61,"")</f>
        <v/>
      </c>
      <c r="AX61" s="12" t="n">
        <f aca="false">IF(AR61=1,AQ61,"")</f>
        <v>4.375</v>
      </c>
      <c r="AY61" s="12" t="str">
        <f aca="false">IF(AR61=2,AQ61,"")</f>
        <v/>
      </c>
    </row>
    <row r="62" customFormat="false" ht="15" hidden="false" customHeight="true" outlineLevel="0" collapsed="false">
      <c r="A62" s="10" t="n">
        <v>60</v>
      </c>
      <c r="B62" s="10" t="n">
        <v>2</v>
      </c>
      <c r="C62" s="10" t="n">
        <v>1</v>
      </c>
      <c r="D62" s="10" t="n">
        <v>12</v>
      </c>
      <c r="E62" s="10" t="n">
        <v>3</v>
      </c>
      <c r="F62" s="10" t="n">
        <v>2</v>
      </c>
      <c r="G62" s="10" t="n">
        <v>2</v>
      </c>
      <c r="H62" s="10" t="n">
        <v>4</v>
      </c>
      <c r="I62" s="10" t="n">
        <v>2</v>
      </c>
      <c r="J62" s="10" t="n">
        <v>3</v>
      </c>
      <c r="K62" s="10" t="n">
        <v>2</v>
      </c>
      <c r="L62" s="10" t="n">
        <v>3</v>
      </c>
      <c r="M62" s="10" t="n">
        <v>2</v>
      </c>
      <c r="N62" s="10" t="n">
        <v>4</v>
      </c>
      <c r="O62" s="10" t="n">
        <v>3</v>
      </c>
      <c r="P62" s="10" t="n">
        <v>1</v>
      </c>
      <c r="Q62" s="10" t="n">
        <v>2</v>
      </c>
      <c r="R62" s="10" t="n">
        <v>2</v>
      </c>
      <c r="S62" s="10" t="n">
        <v>2</v>
      </c>
      <c r="T62" s="10" t="n">
        <v>2</v>
      </c>
      <c r="U62" s="10" t="n">
        <v>1</v>
      </c>
      <c r="V62" s="10" t="n">
        <v>4</v>
      </c>
      <c r="W62" s="10" t="n">
        <v>5</v>
      </c>
      <c r="X62" s="10" t="n">
        <v>5</v>
      </c>
      <c r="Y62" s="10" t="n">
        <v>5</v>
      </c>
      <c r="Z62" s="10" t="n">
        <v>3</v>
      </c>
      <c r="AA62" s="10" t="n">
        <v>1</v>
      </c>
      <c r="AB62" s="10" t="n">
        <v>2</v>
      </c>
      <c r="AC62" s="10" t="n">
        <v>4</v>
      </c>
      <c r="AD62" s="10" t="n">
        <v>2</v>
      </c>
      <c r="AE62" s="10" t="n">
        <v>2</v>
      </c>
      <c r="AF62" s="10" t="n">
        <v>3</v>
      </c>
      <c r="AG62" s="10" t="n">
        <v>4</v>
      </c>
      <c r="AH62" s="11" t="n">
        <f aca="false">IF(V62="","",6-V62)</f>
        <v>2</v>
      </c>
      <c r="AI62" s="11" t="n">
        <f aca="false">IF(W62="","",6-W62)</f>
        <v>1</v>
      </c>
      <c r="AJ62" s="11" t="n">
        <f aca="false">IF(X62="","",6-X62)</f>
        <v>1</v>
      </c>
      <c r="AK62" s="11" t="n">
        <f aca="false">IF(Y62="","",6-Y62)</f>
        <v>1</v>
      </c>
      <c r="AL62" s="11" t="n">
        <f aca="false">IF(COUNT(H62:O62)=8,SUM(H62:O62),"")</f>
        <v>23</v>
      </c>
      <c r="AM62" s="11" t="n">
        <f aca="false">IF(COUNT(P62:U62,AH62:AK62)=10,SUM(P62:U62,AH62:AK62),"")</f>
        <v>15</v>
      </c>
      <c r="AN62" s="11" t="n">
        <f aca="false">IF(COUNT(Z62:AG62)=8,SUM(Z62:AG62),"")</f>
        <v>21</v>
      </c>
      <c r="AO62" s="12" t="n">
        <f aca="false">IF(AL62="","",AL62/8)</f>
        <v>2.875</v>
      </c>
      <c r="AP62" s="12" t="n">
        <f aca="false">IF(AM62="","",AM62/10)</f>
        <v>1.5</v>
      </c>
      <c r="AQ62" s="12" t="n">
        <f aca="false">IF(AN62="","",AN62/8)</f>
        <v>2.625</v>
      </c>
      <c r="AR62" s="11" t="n">
        <f aca="false">IF(A62="","",IF(OR(F62=1,G62=1,AND(E62&lt;&gt;"",E62&lt;=2)),2,IF(AND(E62&gt;=3,G62=2,OR(F62=2,F62=3)),1,"")))</f>
        <v>1</v>
      </c>
      <c r="AS62" s="11" t="str">
        <f aca="false">IF(AR62=1,"טיפוסי",IF(AR62=2,"מתקשה",""))</f>
        <v>טיפוסי</v>
      </c>
      <c r="AT62" s="12" t="n">
        <f aca="false">IF(AR62=1,AO62,"")</f>
        <v>2.875</v>
      </c>
      <c r="AU62" s="12" t="str">
        <f aca="false">IF(AR62=2,AO62,"")</f>
        <v/>
      </c>
      <c r="AV62" s="12" t="n">
        <f aca="false">IF(AR62=1,AP62,"")</f>
        <v>1.5</v>
      </c>
      <c r="AW62" s="12" t="str">
        <f aca="false">IF(AR62=2,AP62,"")</f>
        <v/>
      </c>
      <c r="AX62" s="12" t="n">
        <f aca="false">IF(AR62=1,AQ62,"")</f>
        <v>2.625</v>
      </c>
      <c r="AY62" s="12" t="str">
        <f aca="false">IF(AR62=2,AQ62,"")</f>
        <v/>
      </c>
    </row>
    <row r="63" customFormat="false" ht="15" hidden="false" customHeight="true" outlineLevel="0" collapsed="false">
      <c r="A63" s="10" t="n">
        <v>61</v>
      </c>
      <c r="B63" s="10" t="n">
        <v>2</v>
      </c>
      <c r="C63" s="10" t="n">
        <v>3</v>
      </c>
      <c r="D63" s="10" t="n">
        <v>15</v>
      </c>
      <c r="E63" s="10" t="n">
        <v>3</v>
      </c>
      <c r="F63" s="10" t="n">
        <v>2</v>
      </c>
      <c r="G63" s="10" t="n">
        <v>2</v>
      </c>
      <c r="H63" s="10" t="n">
        <v>4</v>
      </c>
      <c r="I63" s="10" t="n">
        <v>3</v>
      </c>
      <c r="J63" s="10" t="n">
        <v>2</v>
      </c>
      <c r="K63" s="10" t="n">
        <v>1</v>
      </c>
      <c r="L63" s="10" t="n">
        <v>1</v>
      </c>
      <c r="M63" s="10" t="n">
        <v>4</v>
      </c>
      <c r="N63" s="10" t="n">
        <v>4</v>
      </c>
      <c r="O63" s="10" t="n">
        <v>4</v>
      </c>
      <c r="P63" s="10" t="n">
        <v>4</v>
      </c>
      <c r="Q63" s="10" t="n">
        <v>3</v>
      </c>
      <c r="R63" s="10" t="n">
        <v>3</v>
      </c>
      <c r="S63" s="10" t="n">
        <v>4</v>
      </c>
      <c r="T63" s="10" t="n">
        <v>3</v>
      </c>
      <c r="U63" s="10" t="n">
        <v>3</v>
      </c>
      <c r="V63" s="10" t="n">
        <v>2</v>
      </c>
      <c r="W63" s="10" t="n">
        <v>4</v>
      </c>
      <c r="X63" s="10" t="n">
        <v>3</v>
      </c>
      <c r="Y63" s="10" t="n">
        <v>3</v>
      </c>
      <c r="Z63" s="10" t="n">
        <v>4</v>
      </c>
      <c r="AA63" s="10" t="n">
        <v>5</v>
      </c>
      <c r="AB63" s="10" t="n">
        <v>4</v>
      </c>
      <c r="AC63" s="10" t="n">
        <v>5</v>
      </c>
      <c r="AD63" s="10" t="n">
        <v>5</v>
      </c>
      <c r="AE63" s="10" t="n">
        <v>4</v>
      </c>
      <c r="AF63" s="10" t="n">
        <v>3</v>
      </c>
      <c r="AG63" s="10" t="n">
        <v>3</v>
      </c>
      <c r="AH63" s="11" t="n">
        <f aca="false">IF(V63="","",6-V63)</f>
        <v>4</v>
      </c>
      <c r="AI63" s="11" t="n">
        <f aca="false">IF(W63="","",6-W63)</f>
        <v>2</v>
      </c>
      <c r="AJ63" s="11" t="n">
        <f aca="false">IF(X63="","",6-X63)</f>
        <v>3</v>
      </c>
      <c r="AK63" s="11" t="n">
        <f aca="false">IF(Y63="","",6-Y63)</f>
        <v>3</v>
      </c>
      <c r="AL63" s="11" t="n">
        <f aca="false">IF(COUNT(H63:O63)=8,SUM(H63:O63),"")</f>
        <v>23</v>
      </c>
      <c r="AM63" s="11" t="n">
        <f aca="false">IF(COUNT(P63:U63,AH63:AK63)=10,SUM(P63:U63,AH63:AK63),"")</f>
        <v>32</v>
      </c>
      <c r="AN63" s="11" t="n">
        <f aca="false">IF(COUNT(Z63:AG63)=8,SUM(Z63:AG63),"")</f>
        <v>33</v>
      </c>
      <c r="AO63" s="12" t="n">
        <f aca="false">IF(AL63="","",AL63/8)</f>
        <v>2.875</v>
      </c>
      <c r="AP63" s="12" t="n">
        <f aca="false">IF(AM63="","",AM63/10)</f>
        <v>3.2</v>
      </c>
      <c r="AQ63" s="12" t="n">
        <f aca="false">IF(AN63="","",AN63/8)</f>
        <v>4.125</v>
      </c>
      <c r="AR63" s="11" t="n">
        <f aca="false">IF(A63="","",IF(OR(F63=1,G63=1,AND(E63&lt;&gt;"",E63&lt;=2)),2,IF(AND(E63&gt;=3,G63=2,OR(F63=2,F63=3)),1,"")))</f>
        <v>1</v>
      </c>
      <c r="AS63" s="11" t="str">
        <f aca="false">IF(AR63=1,"טיפוסי",IF(AR63=2,"מתקשה",""))</f>
        <v>טיפוסי</v>
      </c>
      <c r="AT63" s="12" t="n">
        <f aca="false">IF(AR63=1,AO63,"")</f>
        <v>2.875</v>
      </c>
      <c r="AU63" s="12" t="str">
        <f aca="false">IF(AR63=2,AO63,"")</f>
        <v/>
      </c>
      <c r="AV63" s="12" t="n">
        <f aca="false">IF(AR63=1,AP63,"")</f>
        <v>3.2</v>
      </c>
      <c r="AW63" s="12" t="str">
        <f aca="false">IF(AR63=2,AP63,"")</f>
        <v/>
      </c>
      <c r="AX63" s="12" t="n">
        <f aca="false">IF(AR63=1,AQ63,"")</f>
        <v>4.125</v>
      </c>
      <c r="AY63" s="12" t="str">
        <f aca="false">IF(AR63=2,AQ63,"")</f>
        <v/>
      </c>
    </row>
    <row r="64" customFormat="false" ht="15" hidden="false" customHeight="true" outlineLevel="0" collapsed="false">
      <c r="A64" s="10" t="n">
        <v>62</v>
      </c>
      <c r="B64" s="10" t="n">
        <v>1</v>
      </c>
      <c r="C64" s="10" t="n">
        <v>2</v>
      </c>
      <c r="D64" s="10" t="n">
        <v>14</v>
      </c>
      <c r="E64" s="10" t="n">
        <v>3</v>
      </c>
      <c r="F64" s="10" t="n">
        <v>3</v>
      </c>
      <c r="G64" s="10" t="n">
        <v>2</v>
      </c>
      <c r="H64" s="10" t="n">
        <v>4</v>
      </c>
      <c r="I64" s="10" t="n">
        <v>5</v>
      </c>
      <c r="J64" s="10" t="n">
        <v>5</v>
      </c>
      <c r="K64" s="10" t="n">
        <v>4</v>
      </c>
      <c r="L64" s="10" t="n">
        <v>4</v>
      </c>
      <c r="M64" s="10" t="n">
        <v>5</v>
      </c>
      <c r="N64" s="10" t="n">
        <v>5</v>
      </c>
      <c r="O64" s="10" t="n">
        <v>4</v>
      </c>
      <c r="P64" s="10" t="n">
        <v>5</v>
      </c>
      <c r="Q64" s="10" t="n">
        <v>4</v>
      </c>
      <c r="R64" s="10" t="n">
        <v>3</v>
      </c>
      <c r="S64" s="10" t="n">
        <v>2</v>
      </c>
      <c r="T64" s="10" t="n">
        <v>5</v>
      </c>
      <c r="U64" s="10" t="n">
        <v>3</v>
      </c>
      <c r="V64" s="10" t="n">
        <v>1</v>
      </c>
      <c r="W64" s="10" t="n">
        <v>4</v>
      </c>
      <c r="X64" s="10" t="n">
        <v>3</v>
      </c>
      <c r="Y64" s="10" t="n">
        <v>3</v>
      </c>
      <c r="Z64" s="10" t="n">
        <v>5</v>
      </c>
      <c r="AA64" s="10" t="n">
        <v>5</v>
      </c>
      <c r="AB64" s="10" t="n">
        <v>5</v>
      </c>
      <c r="AC64" s="10" t="n">
        <v>5</v>
      </c>
      <c r="AD64" s="10" t="n">
        <v>5</v>
      </c>
      <c r="AE64" s="10" t="n">
        <v>4</v>
      </c>
      <c r="AF64" s="10" t="n">
        <v>4</v>
      </c>
      <c r="AG64" s="10" t="n">
        <v>4</v>
      </c>
      <c r="AH64" s="11" t="n">
        <f aca="false">IF(V64="","",6-V64)</f>
        <v>5</v>
      </c>
      <c r="AI64" s="11" t="n">
        <f aca="false">IF(W64="","",6-W64)</f>
        <v>2</v>
      </c>
      <c r="AJ64" s="11" t="n">
        <f aca="false">IF(X64="","",6-X64)</f>
        <v>3</v>
      </c>
      <c r="AK64" s="11" t="n">
        <f aca="false">IF(Y64="","",6-Y64)</f>
        <v>3</v>
      </c>
      <c r="AL64" s="11" t="n">
        <f aca="false">IF(COUNT(H64:O64)=8,SUM(H64:O64),"")</f>
        <v>36</v>
      </c>
      <c r="AM64" s="11" t="n">
        <f aca="false">IF(COUNT(P64:U64,AH64:AK64)=10,SUM(P64:U64,AH64:AK64),"")</f>
        <v>35</v>
      </c>
      <c r="AN64" s="11" t="n">
        <f aca="false">IF(COUNT(Z64:AG64)=8,SUM(Z64:AG64),"")</f>
        <v>37</v>
      </c>
      <c r="AO64" s="12" t="n">
        <f aca="false">IF(AL64="","",AL64/8)</f>
        <v>4.5</v>
      </c>
      <c r="AP64" s="12" t="n">
        <f aca="false">IF(AM64="","",AM64/10)</f>
        <v>3.5</v>
      </c>
      <c r="AQ64" s="12" t="n">
        <f aca="false">IF(AN64="","",AN64/8)</f>
        <v>4.625</v>
      </c>
      <c r="AR64" s="11" t="n">
        <f aca="false">IF(A64="","",IF(OR(F64=1,G64=1,AND(E64&lt;&gt;"",E64&lt;=2)),2,IF(AND(E64&gt;=3,G64=2,OR(F64=2,F64=3)),1,"")))</f>
        <v>1</v>
      </c>
      <c r="AS64" s="11" t="str">
        <f aca="false">IF(AR64=1,"טיפוסי",IF(AR64=2,"מתקשה",""))</f>
        <v>טיפוסי</v>
      </c>
      <c r="AT64" s="12" t="n">
        <f aca="false">IF(AR64=1,AO64,"")</f>
        <v>4.5</v>
      </c>
      <c r="AU64" s="12" t="str">
        <f aca="false">IF(AR64=2,AO64,"")</f>
        <v/>
      </c>
      <c r="AV64" s="12" t="n">
        <f aca="false">IF(AR64=1,AP64,"")</f>
        <v>3.5</v>
      </c>
      <c r="AW64" s="12" t="str">
        <f aca="false">IF(AR64=2,AP64,"")</f>
        <v/>
      </c>
      <c r="AX64" s="12" t="n">
        <f aca="false">IF(AR64=1,AQ64,"")</f>
        <v>4.625</v>
      </c>
      <c r="AY64" s="12" t="str">
        <f aca="false">IF(AR64=2,AQ64,"")</f>
        <v/>
      </c>
    </row>
    <row r="65" customFormat="false" ht="15" hidden="false" customHeight="true" outlineLevel="0" collapsed="false">
      <c r="A65" s="10" t="n">
        <v>63</v>
      </c>
      <c r="B65" s="10" t="n">
        <v>1</v>
      </c>
      <c r="C65" s="10" t="n">
        <v>2</v>
      </c>
      <c r="D65" s="10" t="n">
        <v>14</v>
      </c>
      <c r="E65" s="10" t="n">
        <v>4</v>
      </c>
      <c r="F65" s="10" t="n">
        <v>3</v>
      </c>
      <c r="G65" s="10" t="n">
        <v>2</v>
      </c>
      <c r="H65" s="10" t="n">
        <v>5</v>
      </c>
      <c r="I65" s="10" t="n">
        <v>5</v>
      </c>
      <c r="J65" s="10" t="n">
        <v>5</v>
      </c>
      <c r="K65" s="10" t="n">
        <v>4</v>
      </c>
      <c r="L65" s="10" t="n">
        <v>5</v>
      </c>
      <c r="M65" s="10" t="n">
        <v>5</v>
      </c>
      <c r="N65" s="10" t="n">
        <v>5</v>
      </c>
      <c r="O65" s="10" t="n">
        <v>5</v>
      </c>
      <c r="P65" s="10" t="n">
        <v>4</v>
      </c>
      <c r="Q65" s="10" t="n">
        <v>4</v>
      </c>
      <c r="R65" s="10" t="n">
        <v>4</v>
      </c>
      <c r="S65" s="10" t="n">
        <v>5</v>
      </c>
      <c r="T65" s="10" t="n">
        <v>5</v>
      </c>
      <c r="U65" s="10" t="n">
        <v>5</v>
      </c>
      <c r="V65" s="10" t="n">
        <v>2</v>
      </c>
      <c r="W65" s="10" t="n">
        <v>1</v>
      </c>
      <c r="X65" s="10" t="n">
        <v>1</v>
      </c>
      <c r="Y65" s="10" t="n">
        <v>3</v>
      </c>
      <c r="Z65" s="10" t="n">
        <v>3</v>
      </c>
      <c r="AA65" s="10" t="n">
        <v>2</v>
      </c>
      <c r="AB65" s="10" t="n">
        <v>3</v>
      </c>
      <c r="AC65" s="10" t="n">
        <v>5</v>
      </c>
      <c r="AD65" s="10" t="n">
        <v>5</v>
      </c>
      <c r="AE65" s="10" t="n">
        <v>3</v>
      </c>
      <c r="AF65" s="10" t="n">
        <v>4</v>
      </c>
      <c r="AG65" s="10" t="n">
        <v>3</v>
      </c>
      <c r="AH65" s="11" t="n">
        <f aca="false">IF(V65="","",6-V65)</f>
        <v>4</v>
      </c>
      <c r="AI65" s="11" t="n">
        <f aca="false">IF(W65="","",6-W65)</f>
        <v>5</v>
      </c>
      <c r="AJ65" s="11" t="n">
        <f aca="false">IF(X65="","",6-X65)</f>
        <v>5</v>
      </c>
      <c r="AK65" s="11" t="n">
        <f aca="false">IF(Y65="","",6-Y65)</f>
        <v>3</v>
      </c>
      <c r="AL65" s="11" t="n">
        <f aca="false">IF(COUNT(H65:O65)=8,SUM(H65:O65),"")</f>
        <v>39</v>
      </c>
      <c r="AM65" s="11" t="n">
        <f aca="false">IF(COUNT(P65:U65,AH65:AK65)=10,SUM(P65:U65,AH65:AK65),"")</f>
        <v>44</v>
      </c>
      <c r="AN65" s="11" t="n">
        <f aca="false">IF(COUNT(Z65:AG65)=8,SUM(Z65:AG65),"")</f>
        <v>28</v>
      </c>
      <c r="AO65" s="12" t="n">
        <f aca="false">IF(AL65="","",AL65/8)</f>
        <v>4.875</v>
      </c>
      <c r="AP65" s="12" t="n">
        <f aca="false">IF(AM65="","",AM65/10)</f>
        <v>4.4</v>
      </c>
      <c r="AQ65" s="12" t="n">
        <f aca="false">IF(AN65="","",AN65/8)</f>
        <v>3.5</v>
      </c>
      <c r="AR65" s="11" t="n">
        <f aca="false">IF(A65="","",IF(OR(F65=1,G65=1,AND(E65&lt;&gt;"",E65&lt;=2)),2,IF(AND(E65&gt;=3,G65=2,OR(F65=2,F65=3)),1,"")))</f>
        <v>1</v>
      </c>
      <c r="AS65" s="11" t="str">
        <f aca="false">IF(AR65=1,"טיפוסי",IF(AR65=2,"מתקשה",""))</f>
        <v>טיפוסי</v>
      </c>
      <c r="AT65" s="12" t="n">
        <f aca="false">IF(AR65=1,AO65,"")</f>
        <v>4.875</v>
      </c>
      <c r="AU65" s="12" t="str">
        <f aca="false">IF(AR65=2,AO65,"")</f>
        <v/>
      </c>
      <c r="AV65" s="12" t="n">
        <f aca="false">IF(AR65=1,AP65,"")</f>
        <v>4.4</v>
      </c>
      <c r="AW65" s="12" t="str">
        <f aca="false">IF(AR65=2,AP65,"")</f>
        <v/>
      </c>
      <c r="AX65" s="12" t="n">
        <f aca="false">IF(AR65=1,AQ65,"")</f>
        <v>3.5</v>
      </c>
      <c r="AY65" s="12" t="str">
        <f aca="false">IF(AR65=2,AQ65,"")</f>
        <v/>
      </c>
    </row>
    <row r="66" customFormat="false" ht="15" hidden="false" customHeight="true" outlineLevel="0" collapsed="false">
      <c r="A66" s="10" t="n">
        <v>64</v>
      </c>
      <c r="B66" s="10" t="n">
        <v>2</v>
      </c>
      <c r="C66" s="10" t="n">
        <v>2</v>
      </c>
      <c r="D66" s="10" t="n">
        <v>13</v>
      </c>
      <c r="E66" s="10" t="n">
        <v>4</v>
      </c>
      <c r="F66" s="10" t="n">
        <v>1</v>
      </c>
      <c r="G66" s="10" t="n">
        <v>1</v>
      </c>
      <c r="H66" s="10" t="n">
        <v>2</v>
      </c>
      <c r="I66" s="10" t="n">
        <v>2</v>
      </c>
      <c r="J66" s="10" t="n">
        <v>2</v>
      </c>
      <c r="K66" s="10" t="n">
        <v>1</v>
      </c>
      <c r="L66" s="10" t="n">
        <v>3</v>
      </c>
      <c r="M66" s="10" t="n">
        <v>3</v>
      </c>
      <c r="N66" s="10" t="n">
        <v>4</v>
      </c>
      <c r="O66" s="10" t="n">
        <v>5</v>
      </c>
      <c r="P66" s="10" t="n">
        <v>2</v>
      </c>
      <c r="Q66" s="10" t="n">
        <v>2</v>
      </c>
      <c r="R66" s="10" t="n">
        <v>3</v>
      </c>
      <c r="S66" s="10" t="n">
        <v>1</v>
      </c>
      <c r="T66" s="10" t="n">
        <v>2</v>
      </c>
      <c r="U66" s="10" t="n">
        <v>2</v>
      </c>
      <c r="V66" s="10" t="n">
        <v>5</v>
      </c>
      <c r="W66" s="10" t="n">
        <v>4</v>
      </c>
      <c r="X66" s="10" t="n">
        <v>4</v>
      </c>
      <c r="Y66" s="10" t="n">
        <v>4</v>
      </c>
      <c r="Z66" s="10" t="n">
        <v>5</v>
      </c>
      <c r="AA66" s="10" t="n">
        <v>3</v>
      </c>
      <c r="AB66" s="10" t="n">
        <v>4</v>
      </c>
      <c r="AC66" s="10" t="n">
        <v>3</v>
      </c>
      <c r="AD66" s="10" t="n">
        <v>3</v>
      </c>
      <c r="AE66" s="10" t="n">
        <v>3</v>
      </c>
      <c r="AF66" s="10" t="n">
        <v>5</v>
      </c>
      <c r="AG66" s="10" t="n">
        <v>4</v>
      </c>
      <c r="AH66" s="11" t="n">
        <f aca="false">IF(V66="","",6-V66)</f>
        <v>1</v>
      </c>
      <c r="AI66" s="11" t="n">
        <f aca="false">IF(W66="","",6-W66)</f>
        <v>2</v>
      </c>
      <c r="AJ66" s="11" t="n">
        <f aca="false">IF(X66="","",6-X66)</f>
        <v>2</v>
      </c>
      <c r="AK66" s="11" t="n">
        <f aca="false">IF(Y66="","",6-Y66)</f>
        <v>2</v>
      </c>
      <c r="AL66" s="11" t="n">
        <f aca="false">IF(COUNT(H66:O66)=8,SUM(H66:O66),"")</f>
        <v>22</v>
      </c>
      <c r="AM66" s="11" t="n">
        <f aca="false">IF(COUNT(P66:U66,AH66:AK66)=10,SUM(P66:U66,AH66:AK66),"")</f>
        <v>19</v>
      </c>
      <c r="AN66" s="11" t="n">
        <f aca="false">IF(COUNT(Z66:AG66)=8,SUM(Z66:AG66),"")</f>
        <v>30</v>
      </c>
      <c r="AO66" s="12" t="n">
        <f aca="false">IF(AL66="","",AL66/8)</f>
        <v>2.75</v>
      </c>
      <c r="AP66" s="12" t="n">
        <f aca="false">IF(AM66="","",AM66/10)</f>
        <v>1.9</v>
      </c>
      <c r="AQ66" s="12" t="n">
        <f aca="false">IF(AN66="","",AN66/8)</f>
        <v>3.75</v>
      </c>
      <c r="AR66" s="11" t="n">
        <f aca="false">IF(A66="","",IF(OR(F66=1,G66=1,AND(E66&lt;&gt;"",E66&lt;=2)),2,IF(AND(E66&gt;=3,G66=2,OR(F66=2,F66=3)),1,"")))</f>
        <v>2</v>
      </c>
      <c r="AS66" s="11" t="str">
        <f aca="false">IF(AR66=1,"טיפוסי",IF(AR66=2,"מתקשה",""))</f>
        <v>מתקשה</v>
      </c>
      <c r="AT66" s="12" t="str">
        <f aca="false">IF(AR66=1,AO66,"")</f>
        <v/>
      </c>
      <c r="AU66" s="12" t="n">
        <f aca="false">IF(AR66=2,AO66,"")</f>
        <v>2.75</v>
      </c>
      <c r="AV66" s="12" t="str">
        <f aca="false">IF(AR66=1,AP66,"")</f>
        <v/>
      </c>
      <c r="AW66" s="12" t="n">
        <f aca="false">IF(AR66=2,AP66,"")</f>
        <v>1.9</v>
      </c>
      <c r="AX66" s="12" t="str">
        <f aca="false">IF(AR66=1,AQ66,"")</f>
        <v/>
      </c>
      <c r="AY66" s="12" t="n">
        <f aca="false">IF(AR66=2,AQ66,"")</f>
        <v>3.75</v>
      </c>
    </row>
    <row r="67" customFormat="false" ht="15" hidden="false" customHeight="true" outlineLevel="0" collapsed="false">
      <c r="A67" s="10" t="n">
        <v>65</v>
      </c>
      <c r="B67" s="10" t="n">
        <v>2</v>
      </c>
      <c r="C67" s="10" t="n">
        <v>1</v>
      </c>
      <c r="D67" s="10" t="n">
        <v>13</v>
      </c>
      <c r="E67" s="10" t="n">
        <v>3</v>
      </c>
      <c r="F67" s="10" t="n">
        <v>2</v>
      </c>
      <c r="G67" s="10" t="n">
        <v>2</v>
      </c>
      <c r="H67" s="10" t="n">
        <v>3</v>
      </c>
      <c r="I67" s="10" t="n">
        <v>3</v>
      </c>
      <c r="J67" s="10" t="n">
        <v>3</v>
      </c>
      <c r="K67" s="10" t="n">
        <v>3</v>
      </c>
      <c r="L67" s="10" t="n">
        <v>3</v>
      </c>
      <c r="M67" s="10" t="n">
        <v>4</v>
      </c>
      <c r="N67" s="10" t="n">
        <v>1</v>
      </c>
      <c r="O67" s="10" t="n">
        <v>4</v>
      </c>
      <c r="P67" s="10" t="n">
        <v>4</v>
      </c>
      <c r="Q67" s="10" t="n">
        <v>4</v>
      </c>
      <c r="R67" s="10" t="n">
        <v>4</v>
      </c>
      <c r="S67" s="10" t="n">
        <v>4</v>
      </c>
      <c r="T67" s="10" t="n">
        <v>5</v>
      </c>
      <c r="U67" s="10" t="n">
        <v>3</v>
      </c>
      <c r="V67" s="10" t="n">
        <v>3</v>
      </c>
      <c r="W67" s="10" t="n">
        <v>1</v>
      </c>
      <c r="X67" s="10" t="n">
        <v>3</v>
      </c>
      <c r="Y67" s="10" t="n">
        <v>2</v>
      </c>
      <c r="Z67" s="10" t="n">
        <v>4</v>
      </c>
      <c r="AA67" s="10" t="n">
        <v>4</v>
      </c>
      <c r="AB67" s="10" t="n">
        <v>4</v>
      </c>
      <c r="AC67" s="10" t="n">
        <v>5</v>
      </c>
      <c r="AD67" s="10" t="n">
        <v>3</v>
      </c>
      <c r="AE67" s="10" t="n">
        <v>3</v>
      </c>
      <c r="AF67" s="10" t="n">
        <v>4</v>
      </c>
      <c r="AG67" s="10" t="n">
        <v>4</v>
      </c>
      <c r="AH67" s="11" t="n">
        <f aca="false">IF(V67="","",6-V67)</f>
        <v>3</v>
      </c>
      <c r="AI67" s="11" t="n">
        <f aca="false">IF(W67="","",6-W67)</f>
        <v>5</v>
      </c>
      <c r="AJ67" s="11" t="n">
        <f aca="false">IF(X67="","",6-X67)</f>
        <v>3</v>
      </c>
      <c r="AK67" s="11" t="n">
        <f aca="false">IF(Y67="","",6-Y67)</f>
        <v>4</v>
      </c>
      <c r="AL67" s="11" t="n">
        <f aca="false">IF(COUNT(H67:O67)=8,SUM(H67:O67),"")</f>
        <v>24</v>
      </c>
      <c r="AM67" s="11" t="n">
        <f aca="false">IF(COUNT(P67:U67,AH67:AK67)=10,SUM(P67:U67,AH67:AK67),"")</f>
        <v>39</v>
      </c>
      <c r="AN67" s="11" t="n">
        <f aca="false">IF(COUNT(Z67:AG67)=8,SUM(Z67:AG67),"")</f>
        <v>31</v>
      </c>
      <c r="AO67" s="12" t="n">
        <f aca="false">IF(AL67="","",AL67/8)</f>
        <v>3</v>
      </c>
      <c r="AP67" s="12" t="n">
        <f aca="false">IF(AM67="","",AM67/10)</f>
        <v>3.9</v>
      </c>
      <c r="AQ67" s="12" t="n">
        <f aca="false">IF(AN67="","",AN67/8)</f>
        <v>3.875</v>
      </c>
      <c r="AR67" s="11" t="n">
        <f aca="false">IF(A67="","",IF(OR(F67=1,G67=1,AND(E67&lt;&gt;"",E67&lt;=2)),2,IF(AND(E67&gt;=3,G67=2,OR(F67=2,F67=3)),1,"")))</f>
        <v>1</v>
      </c>
      <c r="AS67" s="11" t="str">
        <f aca="false">IF(AR67=1,"טיפוסי",IF(AR67=2,"מתקשה",""))</f>
        <v>טיפוסי</v>
      </c>
      <c r="AT67" s="12" t="n">
        <f aca="false">IF(AR67=1,AO67,"")</f>
        <v>3</v>
      </c>
      <c r="AU67" s="12" t="str">
        <f aca="false">IF(AR67=2,AO67,"")</f>
        <v/>
      </c>
      <c r="AV67" s="12" t="n">
        <f aca="false">IF(AR67=1,AP67,"")</f>
        <v>3.9</v>
      </c>
      <c r="AW67" s="12" t="str">
        <f aca="false">IF(AR67=2,AP67,"")</f>
        <v/>
      </c>
      <c r="AX67" s="12" t="n">
        <f aca="false">IF(AR67=1,AQ67,"")</f>
        <v>3.875</v>
      </c>
      <c r="AY67" s="12" t="str">
        <f aca="false">IF(AR67=2,AQ67,"")</f>
        <v/>
      </c>
    </row>
    <row r="68" customFormat="false" ht="15" hidden="false" customHeight="true" outlineLevel="0" collapsed="false">
      <c r="A68" s="10" t="n">
        <v>66</v>
      </c>
      <c r="B68" s="10" t="n">
        <v>2</v>
      </c>
      <c r="C68" s="10" t="n">
        <v>2</v>
      </c>
      <c r="D68" s="10" t="n">
        <v>13</v>
      </c>
      <c r="E68" s="10" t="n">
        <v>3</v>
      </c>
      <c r="F68" s="10" t="n">
        <v>2</v>
      </c>
      <c r="G68" s="10" t="n">
        <v>2</v>
      </c>
      <c r="H68" s="10" t="n">
        <v>2</v>
      </c>
      <c r="I68" s="10" t="n">
        <v>5</v>
      </c>
      <c r="J68" s="10" t="n">
        <v>5</v>
      </c>
      <c r="K68" s="10" t="n">
        <v>2</v>
      </c>
      <c r="L68" s="10" t="n">
        <v>4</v>
      </c>
      <c r="M68" s="10" t="n">
        <v>4</v>
      </c>
      <c r="N68" s="10" t="n">
        <v>5</v>
      </c>
      <c r="O68" s="10" t="n">
        <v>3</v>
      </c>
      <c r="P68" s="10" t="n">
        <v>5</v>
      </c>
      <c r="Q68" s="10" t="n">
        <v>3</v>
      </c>
      <c r="R68" s="10" t="n">
        <v>4</v>
      </c>
      <c r="S68" s="10" t="n">
        <v>2</v>
      </c>
      <c r="T68" s="10" t="n">
        <v>4</v>
      </c>
      <c r="U68" s="10" t="n">
        <v>2</v>
      </c>
      <c r="V68" s="10" t="n">
        <v>1</v>
      </c>
      <c r="W68" s="10" t="n">
        <v>1</v>
      </c>
      <c r="X68" s="10" t="n">
        <v>2</v>
      </c>
      <c r="Y68" s="10" t="n">
        <v>3</v>
      </c>
      <c r="Z68" s="10" t="n">
        <v>5</v>
      </c>
      <c r="AA68" s="10" t="n">
        <v>5</v>
      </c>
      <c r="AB68" s="10" t="n">
        <v>4</v>
      </c>
      <c r="AC68" s="10" t="n">
        <v>4</v>
      </c>
      <c r="AD68" s="10" t="n">
        <v>5</v>
      </c>
      <c r="AE68" s="10" t="n">
        <v>4</v>
      </c>
      <c r="AF68" s="10" t="n">
        <v>4</v>
      </c>
      <c r="AG68" s="10" t="n">
        <v>3</v>
      </c>
      <c r="AH68" s="11" t="n">
        <f aca="false">IF(V68="","",6-V68)</f>
        <v>5</v>
      </c>
      <c r="AI68" s="11" t="n">
        <f aca="false">IF(W68="","",6-W68)</f>
        <v>5</v>
      </c>
      <c r="AJ68" s="11" t="n">
        <f aca="false">IF(X68="","",6-X68)</f>
        <v>4</v>
      </c>
      <c r="AK68" s="11" t="n">
        <f aca="false">IF(Y68="","",6-Y68)</f>
        <v>3</v>
      </c>
      <c r="AL68" s="11" t="n">
        <f aca="false">IF(COUNT(H68:O68)=8,SUM(H68:O68),"")</f>
        <v>30</v>
      </c>
      <c r="AM68" s="11" t="n">
        <f aca="false">IF(COUNT(P68:U68,AH68:AK68)=10,SUM(P68:U68,AH68:AK68),"")</f>
        <v>37</v>
      </c>
      <c r="AN68" s="11" t="n">
        <f aca="false">IF(COUNT(Z68:AG68)=8,SUM(Z68:AG68),"")</f>
        <v>34</v>
      </c>
      <c r="AO68" s="12" t="n">
        <f aca="false">IF(AL68="","",AL68/8)</f>
        <v>3.75</v>
      </c>
      <c r="AP68" s="12" t="n">
        <f aca="false">IF(AM68="","",AM68/10)</f>
        <v>3.7</v>
      </c>
      <c r="AQ68" s="12" t="n">
        <f aca="false">IF(AN68="","",AN68/8)</f>
        <v>4.25</v>
      </c>
      <c r="AR68" s="11" t="n">
        <f aca="false">IF(A68="","",IF(OR(F68=1,G68=1,AND(E68&lt;&gt;"",E68&lt;=2)),2,IF(AND(E68&gt;=3,G68=2,OR(F68=2,F68=3)),1,"")))</f>
        <v>1</v>
      </c>
      <c r="AS68" s="11" t="str">
        <f aca="false">IF(AR68=1,"טיפוסי",IF(AR68=2,"מתקשה",""))</f>
        <v>טיפוסי</v>
      </c>
      <c r="AT68" s="12" t="n">
        <f aca="false">IF(AR68=1,AO68,"")</f>
        <v>3.75</v>
      </c>
      <c r="AU68" s="12" t="str">
        <f aca="false">IF(AR68=2,AO68,"")</f>
        <v/>
      </c>
      <c r="AV68" s="12" t="n">
        <f aca="false">IF(AR68=1,AP68,"")</f>
        <v>3.7</v>
      </c>
      <c r="AW68" s="12" t="str">
        <f aca="false">IF(AR68=2,AP68,"")</f>
        <v/>
      </c>
      <c r="AX68" s="12" t="n">
        <f aca="false">IF(AR68=1,AQ68,"")</f>
        <v>4.25</v>
      </c>
      <c r="AY68" s="12" t="str">
        <f aca="false">IF(AR68=2,AQ68,"")</f>
        <v/>
      </c>
    </row>
    <row r="69" customFormat="false" ht="15" hidden="false" customHeight="true" outlineLevel="0" collapsed="false">
      <c r="A69" s="10" t="n">
        <v>67</v>
      </c>
      <c r="B69" s="10" t="n">
        <v>1</v>
      </c>
      <c r="C69" s="10" t="n">
        <v>2</v>
      </c>
      <c r="D69" s="10" t="n">
        <v>14</v>
      </c>
      <c r="E69" s="10" t="n">
        <v>3</v>
      </c>
      <c r="F69" s="10" t="n">
        <v>2</v>
      </c>
      <c r="G69" s="10" t="n">
        <v>2</v>
      </c>
      <c r="H69" s="10" t="n">
        <v>2</v>
      </c>
      <c r="I69" s="10" t="n">
        <v>2</v>
      </c>
      <c r="J69" s="10" t="n">
        <v>3</v>
      </c>
      <c r="K69" s="10" t="n">
        <v>1</v>
      </c>
      <c r="L69" s="10" t="n">
        <v>2</v>
      </c>
      <c r="M69" s="10" t="n">
        <v>4</v>
      </c>
      <c r="N69" s="10" t="n">
        <v>2</v>
      </c>
      <c r="O69" s="10" t="n">
        <v>2</v>
      </c>
      <c r="P69" s="10" t="n">
        <v>4</v>
      </c>
      <c r="Q69" s="10" t="n">
        <v>3</v>
      </c>
      <c r="R69" s="10" t="n">
        <v>4</v>
      </c>
      <c r="S69" s="10" t="n">
        <v>4</v>
      </c>
      <c r="T69" s="10" t="n">
        <v>4</v>
      </c>
      <c r="U69" s="10" t="n">
        <v>4</v>
      </c>
      <c r="V69" s="10" t="n">
        <v>1</v>
      </c>
      <c r="W69" s="10" t="n">
        <v>3</v>
      </c>
      <c r="X69" s="10" t="n">
        <v>1</v>
      </c>
      <c r="Y69" s="10" t="n">
        <v>2</v>
      </c>
      <c r="Z69" s="10" t="n">
        <v>2</v>
      </c>
      <c r="AA69" s="10" t="n">
        <v>4</v>
      </c>
      <c r="AB69" s="10" t="n">
        <v>5</v>
      </c>
      <c r="AC69" s="10" t="n">
        <v>3</v>
      </c>
      <c r="AD69" s="10" t="n">
        <v>2</v>
      </c>
      <c r="AE69" s="10" t="n">
        <v>4</v>
      </c>
      <c r="AF69" s="10" t="n">
        <v>4</v>
      </c>
      <c r="AG69" s="10" t="n">
        <v>4</v>
      </c>
      <c r="AH69" s="11" t="n">
        <f aca="false">IF(V69="","",6-V69)</f>
        <v>5</v>
      </c>
      <c r="AI69" s="11" t="n">
        <f aca="false">IF(W69="","",6-W69)</f>
        <v>3</v>
      </c>
      <c r="AJ69" s="11" t="n">
        <f aca="false">IF(X69="","",6-X69)</f>
        <v>5</v>
      </c>
      <c r="AK69" s="11" t="n">
        <f aca="false">IF(Y69="","",6-Y69)</f>
        <v>4</v>
      </c>
      <c r="AL69" s="11" t="n">
        <f aca="false">IF(COUNT(H69:O69)=8,SUM(H69:O69),"")</f>
        <v>18</v>
      </c>
      <c r="AM69" s="11" t="n">
        <f aca="false">IF(COUNT(P69:U69,AH69:AK69)=10,SUM(P69:U69,AH69:AK69),"")</f>
        <v>40</v>
      </c>
      <c r="AN69" s="11" t="n">
        <f aca="false">IF(COUNT(Z69:AG69)=8,SUM(Z69:AG69),"")</f>
        <v>28</v>
      </c>
      <c r="AO69" s="12" t="n">
        <f aca="false">IF(AL69="","",AL69/8)</f>
        <v>2.25</v>
      </c>
      <c r="AP69" s="12" t="n">
        <f aca="false">IF(AM69="","",AM69/10)</f>
        <v>4</v>
      </c>
      <c r="AQ69" s="12" t="n">
        <f aca="false">IF(AN69="","",AN69/8)</f>
        <v>3.5</v>
      </c>
      <c r="AR69" s="11" t="n">
        <f aca="false">IF(A69="","",IF(OR(F69=1,G69=1,AND(E69&lt;&gt;"",E69&lt;=2)),2,IF(AND(E69&gt;=3,G69=2,OR(F69=2,F69=3)),1,"")))</f>
        <v>1</v>
      </c>
      <c r="AS69" s="11" t="str">
        <f aca="false">IF(AR69=1,"טיפוסי",IF(AR69=2,"מתקשה",""))</f>
        <v>טיפוסי</v>
      </c>
      <c r="AT69" s="12" t="n">
        <f aca="false">IF(AR69=1,AO69,"")</f>
        <v>2.25</v>
      </c>
      <c r="AU69" s="12" t="str">
        <f aca="false">IF(AR69=2,AO69,"")</f>
        <v/>
      </c>
      <c r="AV69" s="12" t="n">
        <f aca="false">IF(AR69=1,AP69,"")</f>
        <v>4</v>
      </c>
      <c r="AW69" s="12" t="str">
        <f aca="false">IF(AR69=2,AP69,"")</f>
        <v/>
      </c>
      <c r="AX69" s="12" t="n">
        <f aca="false">IF(AR69=1,AQ69,"")</f>
        <v>3.5</v>
      </c>
      <c r="AY69" s="12" t="str">
        <f aca="false">IF(AR69=2,AQ69,"")</f>
        <v/>
      </c>
    </row>
    <row r="70" customFormat="false" ht="15" hidden="false" customHeight="true" outlineLevel="0" collapsed="false">
      <c r="A70" s="10" t="n">
        <v>68</v>
      </c>
      <c r="B70" s="10" t="n">
        <v>1</v>
      </c>
      <c r="C70" s="10" t="n">
        <v>2</v>
      </c>
      <c r="D70" s="10" t="n">
        <v>14</v>
      </c>
      <c r="E70" s="10" t="n">
        <v>2</v>
      </c>
      <c r="F70" s="10" t="n">
        <v>2</v>
      </c>
      <c r="G70" s="10" t="n">
        <v>2</v>
      </c>
      <c r="H70" s="10" t="n">
        <v>3</v>
      </c>
      <c r="I70" s="10" t="n">
        <v>3</v>
      </c>
      <c r="J70" s="10" t="n">
        <v>4</v>
      </c>
      <c r="K70" s="10" t="n">
        <v>3</v>
      </c>
      <c r="L70" s="10" t="n">
        <v>4</v>
      </c>
      <c r="M70" s="10" t="n">
        <v>2</v>
      </c>
      <c r="N70" s="10" t="n">
        <v>3</v>
      </c>
      <c r="O70" s="10" t="n">
        <v>2</v>
      </c>
      <c r="P70" s="10" t="n">
        <v>3</v>
      </c>
      <c r="Q70" s="10" t="n">
        <v>4</v>
      </c>
      <c r="R70" s="10" t="n">
        <v>3</v>
      </c>
      <c r="S70" s="10" t="n">
        <v>2</v>
      </c>
      <c r="T70" s="10" t="n">
        <v>3</v>
      </c>
      <c r="U70" s="10" t="n">
        <v>4</v>
      </c>
      <c r="V70" s="10" t="n">
        <v>1</v>
      </c>
      <c r="W70" s="10" t="n">
        <v>1</v>
      </c>
      <c r="X70" s="10" t="n">
        <v>3</v>
      </c>
      <c r="Y70" s="10" t="n">
        <v>4</v>
      </c>
      <c r="Z70" s="10" t="n">
        <v>5</v>
      </c>
      <c r="AA70" s="10" t="n">
        <v>3</v>
      </c>
      <c r="AB70" s="10" t="n">
        <v>3</v>
      </c>
      <c r="AC70" s="10" t="n">
        <v>4</v>
      </c>
      <c r="AD70" s="10" t="n">
        <v>4</v>
      </c>
      <c r="AE70" s="10" t="n">
        <v>2</v>
      </c>
      <c r="AF70" s="10" t="n">
        <v>4</v>
      </c>
      <c r="AG70" s="10" t="n">
        <v>3</v>
      </c>
      <c r="AH70" s="11" t="n">
        <f aca="false">IF(V70="","",6-V70)</f>
        <v>5</v>
      </c>
      <c r="AI70" s="11" t="n">
        <f aca="false">IF(W70="","",6-W70)</f>
        <v>5</v>
      </c>
      <c r="AJ70" s="11" t="n">
        <f aca="false">IF(X70="","",6-X70)</f>
        <v>3</v>
      </c>
      <c r="AK70" s="11" t="n">
        <f aca="false">IF(Y70="","",6-Y70)</f>
        <v>2</v>
      </c>
      <c r="AL70" s="11" t="n">
        <f aca="false">IF(COUNT(H70:O70)=8,SUM(H70:O70),"")</f>
        <v>24</v>
      </c>
      <c r="AM70" s="11" t="n">
        <f aca="false">IF(COUNT(P70:U70,AH70:AK70)=10,SUM(P70:U70,AH70:AK70),"")</f>
        <v>34</v>
      </c>
      <c r="AN70" s="11" t="n">
        <f aca="false">IF(COUNT(Z70:AG70)=8,SUM(Z70:AG70),"")</f>
        <v>28</v>
      </c>
      <c r="AO70" s="12" t="n">
        <f aca="false">IF(AL70="","",AL70/8)</f>
        <v>3</v>
      </c>
      <c r="AP70" s="12" t="n">
        <f aca="false">IF(AM70="","",AM70/10)</f>
        <v>3.4</v>
      </c>
      <c r="AQ70" s="12" t="n">
        <f aca="false">IF(AN70="","",AN70/8)</f>
        <v>3.5</v>
      </c>
      <c r="AR70" s="11" t="n">
        <f aca="false">IF(A70="","",IF(OR(F70=1,G70=1,AND(E70&lt;&gt;"",E70&lt;=2)),2,IF(AND(E70&gt;=3,G70=2,OR(F70=2,F70=3)),1,"")))</f>
        <v>2</v>
      </c>
      <c r="AS70" s="11" t="str">
        <f aca="false">IF(AR70=1,"טיפוסי",IF(AR70=2,"מתקשה",""))</f>
        <v>מתקשה</v>
      </c>
      <c r="AT70" s="12" t="str">
        <f aca="false">IF(AR70=1,AO70,"")</f>
        <v/>
      </c>
      <c r="AU70" s="12" t="n">
        <f aca="false">IF(AR70=2,AO70,"")</f>
        <v>3</v>
      </c>
      <c r="AV70" s="12" t="str">
        <f aca="false">IF(AR70=1,AP70,"")</f>
        <v/>
      </c>
      <c r="AW70" s="12" t="n">
        <f aca="false">IF(AR70=2,AP70,"")</f>
        <v>3.4</v>
      </c>
      <c r="AX70" s="12" t="str">
        <f aca="false">IF(AR70=1,AQ70,"")</f>
        <v/>
      </c>
      <c r="AY70" s="12" t="n">
        <f aca="false">IF(AR70=2,AQ70,"")</f>
        <v>3.5</v>
      </c>
    </row>
    <row r="71" customFormat="false" ht="15" hidden="false" customHeight="true" outlineLevel="0" collapsed="false">
      <c r="A71" s="10" t="n">
        <v>69</v>
      </c>
      <c r="B71" s="10" t="n">
        <v>2</v>
      </c>
      <c r="C71" s="10" t="n">
        <v>3</v>
      </c>
      <c r="D71" s="10" t="n">
        <v>14</v>
      </c>
      <c r="E71" s="10" t="n">
        <v>3</v>
      </c>
      <c r="F71" s="10" t="n">
        <v>2</v>
      </c>
      <c r="G71" s="10" t="n">
        <v>2</v>
      </c>
      <c r="H71" s="10" t="n">
        <v>3</v>
      </c>
      <c r="I71" s="10" t="n">
        <v>4</v>
      </c>
      <c r="J71" s="10" t="n">
        <v>4</v>
      </c>
      <c r="K71" s="10" t="n">
        <v>4</v>
      </c>
      <c r="L71" s="10" t="n">
        <v>4</v>
      </c>
      <c r="M71" s="10" t="n">
        <v>5</v>
      </c>
      <c r="N71" s="10" t="n">
        <v>3</v>
      </c>
      <c r="O71" s="10" t="n">
        <v>5</v>
      </c>
      <c r="P71" s="10" t="n">
        <v>2</v>
      </c>
      <c r="Q71" s="10" t="n">
        <v>4</v>
      </c>
      <c r="R71" s="10" t="n">
        <v>3</v>
      </c>
      <c r="S71" s="10" t="n">
        <v>3</v>
      </c>
      <c r="T71" s="10" t="n">
        <v>3</v>
      </c>
      <c r="U71" s="10" t="n">
        <v>3</v>
      </c>
      <c r="V71" s="10" t="n">
        <v>4</v>
      </c>
      <c r="W71" s="10" t="n">
        <v>2</v>
      </c>
      <c r="X71" s="10" t="n">
        <v>5</v>
      </c>
      <c r="Y71" s="10" t="n">
        <v>4</v>
      </c>
      <c r="Z71" s="10" t="n">
        <v>3</v>
      </c>
      <c r="AA71" s="10" t="n">
        <v>3</v>
      </c>
      <c r="AB71" s="10" t="n">
        <v>4</v>
      </c>
      <c r="AC71" s="10" t="n">
        <v>4</v>
      </c>
      <c r="AD71" s="10" t="n">
        <v>5</v>
      </c>
      <c r="AE71" s="10" t="n">
        <v>4</v>
      </c>
      <c r="AF71" s="10" t="n">
        <v>4</v>
      </c>
      <c r="AG71" s="10" t="n">
        <v>3</v>
      </c>
      <c r="AH71" s="11" t="n">
        <f aca="false">IF(V71="","",6-V71)</f>
        <v>2</v>
      </c>
      <c r="AI71" s="11" t="n">
        <f aca="false">IF(W71="","",6-W71)</f>
        <v>4</v>
      </c>
      <c r="AJ71" s="11" t="n">
        <f aca="false">IF(X71="","",6-X71)</f>
        <v>1</v>
      </c>
      <c r="AK71" s="11" t="n">
        <f aca="false">IF(Y71="","",6-Y71)</f>
        <v>2</v>
      </c>
      <c r="AL71" s="11" t="n">
        <f aca="false">IF(COUNT(H71:O71)=8,SUM(H71:O71),"")</f>
        <v>32</v>
      </c>
      <c r="AM71" s="11" t="n">
        <f aca="false">IF(COUNT(P71:U71,AH71:AK71)=10,SUM(P71:U71,AH71:AK71),"")</f>
        <v>27</v>
      </c>
      <c r="AN71" s="11" t="n">
        <f aca="false">IF(COUNT(Z71:AG71)=8,SUM(Z71:AG71),"")</f>
        <v>30</v>
      </c>
      <c r="AO71" s="12" t="n">
        <f aca="false">IF(AL71="","",AL71/8)</f>
        <v>4</v>
      </c>
      <c r="AP71" s="12" t="n">
        <f aca="false">IF(AM71="","",AM71/10)</f>
        <v>2.7</v>
      </c>
      <c r="AQ71" s="12" t="n">
        <f aca="false">IF(AN71="","",AN71/8)</f>
        <v>3.75</v>
      </c>
      <c r="AR71" s="11" t="n">
        <f aca="false">IF(A71="","",IF(OR(F71=1,G71=1,AND(E71&lt;&gt;"",E71&lt;=2)),2,IF(AND(E71&gt;=3,G71=2,OR(F71=2,F71=3)),1,"")))</f>
        <v>1</v>
      </c>
      <c r="AS71" s="11" t="str">
        <f aca="false">IF(AR71=1,"טיפוסי",IF(AR71=2,"מתקשה",""))</f>
        <v>טיפוסי</v>
      </c>
      <c r="AT71" s="12" t="n">
        <f aca="false">IF(AR71=1,AO71,"")</f>
        <v>4</v>
      </c>
      <c r="AU71" s="12" t="str">
        <f aca="false">IF(AR71=2,AO71,"")</f>
        <v/>
      </c>
      <c r="AV71" s="12" t="n">
        <f aca="false">IF(AR71=1,AP71,"")</f>
        <v>2.7</v>
      </c>
      <c r="AW71" s="12" t="str">
        <f aca="false">IF(AR71=2,AP71,"")</f>
        <v/>
      </c>
      <c r="AX71" s="12" t="n">
        <f aca="false">IF(AR71=1,AQ71,"")</f>
        <v>3.75</v>
      </c>
      <c r="AY71" s="12" t="str">
        <f aca="false">IF(AR71=2,AQ71,"")</f>
        <v/>
      </c>
    </row>
    <row r="72" customFormat="false" ht="15" hidden="false" customHeight="true" outlineLevel="0" collapsed="false">
      <c r="A72" s="10" t="n">
        <v>70</v>
      </c>
      <c r="B72" s="10" t="n">
        <v>1</v>
      </c>
      <c r="C72" s="10" t="n">
        <v>3</v>
      </c>
      <c r="D72" s="10" t="n">
        <v>14</v>
      </c>
      <c r="E72" s="10" t="n">
        <v>3</v>
      </c>
      <c r="F72" s="10" t="n">
        <v>2</v>
      </c>
      <c r="G72" s="10" t="n">
        <v>2</v>
      </c>
      <c r="H72" s="10" t="n">
        <v>3</v>
      </c>
      <c r="I72" s="10" t="n">
        <v>1</v>
      </c>
      <c r="J72" s="10" t="n">
        <v>3</v>
      </c>
      <c r="K72" s="10" t="n">
        <v>4</v>
      </c>
      <c r="L72" s="10" t="n">
        <v>3</v>
      </c>
      <c r="M72" s="10" t="n">
        <v>5</v>
      </c>
      <c r="N72" s="10" t="n">
        <v>3</v>
      </c>
      <c r="O72" s="10" t="n">
        <v>4</v>
      </c>
      <c r="P72" s="10" t="n">
        <v>5</v>
      </c>
      <c r="Q72" s="10" t="n">
        <v>4</v>
      </c>
      <c r="R72" s="10" t="n">
        <v>3</v>
      </c>
      <c r="S72" s="10" t="n">
        <v>2</v>
      </c>
      <c r="T72" s="10" t="n">
        <v>3</v>
      </c>
      <c r="U72" s="10" t="n">
        <v>4</v>
      </c>
      <c r="V72" s="10" t="n">
        <v>1</v>
      </c>
      <c r="W72" s="10" t="n">
        <v>1</v>
      </c>
      <c r="X72" s="10" t="n">
        <v>3</v>
      </c>
      <c r="Y72" s="10" t="n">
        <v>2</v>
      </c>
      <c r="Z72" s="10" t="n">
        <v>2</v>
      </c>
      <c r="AA72" s="10" t="n">
        <v>3</v>
      </c>
      <c r="AB72" s="10" t="n">
        <v>3</v>
      </c>
      <c r="AC72" s="10" t="n">
        <v>4</v>
      </c>
      <c r="AD72" s="10" t="n">
        <v>3</v>
      </c>
      <c r="AE72" s="10" t="n">
        <v>2</v>
      </c>
      <c r="AF72" s="10" t="n">
        <v>4</v>
      </c>
      <c r="AG72" s="10" t="n">
        <v>1</v>
      </c>
      <c r="AH72" s="11" t="n">
        <f aca="false">IF(V72="","",6-V72)</f>
        <v>5</v>
      </c>
      <c r="AI72" s="11" t="n">
        <f aca="false">IF(W72="","",6-W72)</f>
        <v>5</v>
      </c>
      <c r="AJ72" s="11" t="n">
        <f aca="false">IF(X72="","",6-X72)</f>
        <v>3</v>
      </c>
      <c r="AK72" s="11" t="n">
        <f aca="false">IF(Y72="","",6-Y72)</f>
        <v>4</v>
      </c>
      <c r="AL72" s="11" t="n">
        <f aca="false">IF(COUNT(H72:O72)=8,SUM(H72:O72),"")</f>
        <v>26</v>
      </c>
      <c r="AM72" s="11" t="n">
        <f aca="false">IF(COUNT(P72:U72,AH72:AK72)=10,SUM(P72:U72,AH72:AK72),"")</f>
        <v>38</v>
      </c>
      <c r="AN72" s="11" t="n">
        <f aca="false">IF(COUNT(Z72:AG72)=8,SUM(Z72:AG72),"")</f>
        <v>22</v>
      </c>
      <c r="AO72" s="12" t="n">
        <f aca="false">IF(AL72="","",AL72/8)</f>
        <v>3.25</v>
      </c>
      <c r="AP72" s="12" t="n">
        <f aca="false">IF(AM72="","",AM72/10)</f>
        <v>3.8</v>
      </c>
      <c r="AQ72" s="12" t="n">
        <f aca="false">IF(AN72="","",AN72/8)</f>
        <v>2.75</v>
      </c>
      <c r="AR72" s="11" t="n">
        <f aca="false">IF(A72="","",IF(OR(F72=1,G72=1,AND(E72&lt;&gt;"",E72&lt;=2)),2,IF(AND(E72&gt;=3,G72=2,OR(F72=2,F72=3)),1,"")))</f>
        <v>1</v>
      </c>
      <c r="AS72" s="11" t="str">
        <f aca="false">IF(AR72=1,"טיפוסי",IF(AR72=2,"מתקשה",""))</f>
        <v>טיפוסי</v>
      </c>
      <c r="AT72" s="12" t="n">
        <f aca="false">IF(AR72=1,AO72,"")</f>
        <v>3.25</v>
      </c>
      <c r="AU72" s="12" t="str">
        <f aca="false">IF(AR72=2,AO72,"")</f>
        <v/>
      </c>
      <c r="AV72" s="12" t="n">
        <f aca="false">IF(AR72=1,AP72,"")</f>
        <v>3.8</v>
      </c>
      <c r="AW72" s="12" t="str">
        <f aca="false">IF(AR72=2,AP72,"")</f>
        <v/>
      </c>
      <c r="AX72" s="12" t="n">
        <f aca="false">IF(AR72=1,AQ72,"")</f>
        <v>2.75</v>
      </c>
      <c r="AY72" s="12" t="str">
        <f aca="false">IF(AR72=2,AQ72,"")</f>
        <v/>
      </c>
    </row>
    <row r="73" customFormat="false" ht="15" hidden="false" customHeight="true" outlineLevel="0" collapsed="false">
      <c r="A73" s="10" t="n">
        <v>71</v>
      </c>
      <c r="B73" s="10" t="n">
        <v>1</v>
      </c>
      <c r="C73" s="10" t="n">
        <v>3</v>
      </c>
      <c r="D73" s="10" t="n">
        <v>15</v>
      </c>
      <c r="E73" s="10" t="n">
        <v>3</v>
      </c>
      <c r="F73" s="10" t="n">
        <v>2</v>
      </c>
      <c r="G73" s="10" t="n">
        <v>2</v>
      </c>
      <c r="H73" s="10" t="n">
        <v>5</v>
      </c>
      <c r="I73" s="10" t="n">
        <v>2</v>
      </c>
      <c r="J73" s="10" t="n">
        <v>4</v>
      </c>
      <c r="K73" s="10" t="n">
        <v>4</v>
      </c>
      <c r="L73" s="10" t="n">
        <v>4</v>
      </c>
      <c r="M73" s="10" t="n">
        <v>4</v>
      </c>
      <c r="N73" s="10" t="n">
        <v>5</v>
      </c>
      <c r="O73" s="10" t="n">
        <v>4</v>
      </c>
      <c r="P73" s="10" t="n">
        <v>3</v>
      </c>
      <c r="Q73" s="10" t="n">
        <v>3</v>
      </c>
      <c r="R73" s="10" t="n">
        <v>1</v>
      </c>
      <c r="S73" s="10" t="n">
        <v>3</v>
      </c>
      <c r="T73" s="10" t="n">
        <v>2</v>
      </c>
      <c r="U73" s="10" t="n">
        <v>2</v>
      </c>
      <c r="V73" s="10" t="n">
        <v>5</v>
      </c>
      <c r="W73" s="10" t="n">
        <v>4</v>
      </c>
      <c r="X73" s="10" t="n">
        <v>4</v>
      </c>
      <c r="Y73" s="10" t="n">
        <v>4</v>
      </c>
      <c r="Z73" s="10" t="n">
        <v>2</v>
      </c>
      <c r="AA73" s="10" t="n">
        <v>2</v>
      </c>
      <c r="AB73" s="10" t="n">
        <v>2</v>
      </c>
      <c r="AC73" s="10" t="n">
        <v>4</v>
      </c>
      <c r="AD73" s="10" t="n">
        <v>5</v>
      </c>
      <c r="AE73" s="10" t="n">
        <v>4</v>
      </c>
      <c r="AF73" s="10" t="n">
        <v>3</v>
      </c>
      <c r="AG73" s="10" t="n">
        <v>2</v>
      </c>
      <c r="AH73" s="11" t="n">
        <f aca="false">IF(V73="","",6-V73)</f>
        <v>1</v>
      </c>
      <c r="AI73" s="11" t="n">
        <f aca="false">IF(W73="","",6-W73)</f>
        <v>2</v>
      </c>
      <c r="AJ73" s="11" t="n">
        <f aca="false">IF(X73="","",6-X73)</f>
        <v>2</v>
      </c>
      <c r="AK73" s="11" t="n">
        <f aca="false">IF(Y73="","",6-Y73)</f>
        <v>2</v>
      </c>
      <c r="AL73" s="11" t="n">
        <f aca="false">IF(COUNT(H73:O73)=8,SUM(H73:O73),"")</f>
        <v>32</v>
      </c>
      <c r="AM73" s="11" t="n">
        <f aca="false">IF(COUNT(P73:U73,AH73:AK73)=10,SUM(P73:U73,AH73:AK73),"")</f>
        <v>21</v>
      </c>
      <c r="AN73" s="11" t="n">
        <f aca="false">IF(COUNT(Z73:AG73)=8,SUM(Z73:AG73),"")</f>
        <v>24</v>
      </c>
      <c r="AO73" s="12" t="n">
        <f aca="false">IF(AL73="","",AL73/8)</f>
        <v>4</v>
      </c>
      <c r="AP73" s="12" t="n">
        <f aca="false">IF(AM73="","",AM73/10)</f>
        <v>2.1</v>
      </c>
      <c r="AQ73" s="12" t="n">
        <f aca="false">IF(AN73="","",AN73/8)</f>
        <v>3</v>
      </c>
      <c r="AR73" s="11" t="n">
        <f aca="false">IF(A73="","",IF(OR(F73=1,G73=1,AND(E73&lt;&gt;"",E73&lt;=2)),2,IF(AND(E73&gt;=3,G73=2,OR(F73=2,F73=3)),1,"")))</f>
        <v>1</v>
      </c>
      <c r="AS73" s="11" t="str">
        <f aca="false">IF(AR73=1,"טיפוסי",IF(AR73=2,"מתקשה",""))</f>
        <v>טיפוסי</v>
      </c>
      <c r="AT73" s="12" t="n">
        <f aca="false">IF(AR73=1,AO73,"")</f>
        <v>4</v>
      </c>
      <c r="AU73" s="12" t="str">
        <f aca="false">IF(AR73=2,AO73,"")</f>
        <v/>
      </c>
      <c r="AV73" s="12" t="n">
        <f aca="false">IF(AR73=1,AP73,"")</f>
        <v>2.1</v>
      </c>
      <c r="AW73" s="12" t="str">
        <f aca="false">IF(AR73=2,AP73,"")</f>
        <v/>
      </c>
      <c r="AX73" s="12" t="n">
        <f aca="false">IF(AR73=1,AQ73,"")</f>
        <v>3</v>
      </c>
      <c r="AY73" s="12" t="str">
        <f aca="false">IF(AR73=2,AQ73,"")</f>
        <v/>
      </c>
    </row>
    <row r="74" customFormat="false" ht="15" hidden="false" customHeight="true" outlineLevel="0" collapsed="false">
      <c r="A74" s="10" t="n">
        <v>72</v>
      </c>
      <c r="B74" s="10" t="n">
        <v>1</v>
      </c>
      <c r="C74" s="10" t="n">
        <v>2</v>
      </c>
      <c r="D74" s="10" t="n">
        <v>13</v>
      </c>
      <c r="E74" s="10" t="n">
        <v>4</v>
      </c>
      <c r="F74" s="10" t="n">
        <v>3</v>
      </c>
      <c r="G74" s="10" t="n">
        <v>2</v>
      </c>
      <c r="H74" s="10" t="n">
        <v>3</v>
      </c>
      <c r="I74" s="10" t="n">
        <v>4</v>
      </c>
      <c r="J74" s="10" t="n">
        <v>2</v>
      </c>
      <c r="K74" s="10" t="n">
        <v>2</v>
      </c>
      <c r="L74" s="10" t="n">
        <v>4</v>
      </c>
      <c r="M74" s="10" t="n">
        <v>2</v>
      </c>
      <c r="N74" s="10" t="n">
        <v>3</v>
      </c>
      <c r="O74" s="10" t="n">
        <v>1</v>
      </c>
      <c r="P74" s="10" t="n">
        <v>4</v>
      </c>
      <c r="Q74" s="10" t="n">
        <v>3</v>
      </c>
      <c r="R74" s="10" t="n">
        <v>3</v>
      </c>
      <c r="S74" s="10" t="n">
        <v>2</v>
      </c>
      <c r="T74" s="10" t="n">
        <v>2</v>
      </c>
      <c r="U74" s="10" t="n">
        <v>2</v>
      </c>
      <c r="V74" s="10" t="n">
        <v>4</v>
      </c>
      <c r="W74" s="10" t="n">
        <v>3</v>
      </c>
      <c r="X74" s="10" t="n">
        <v>5</v>
      </c>
      <c r="Y74" s="10" t="n">
        <v>5</v>
      </c>
      <c r="Z74" s="10" t="n">
        <v>3</v>
      </c>
      <c r="AA74" s="10" t="n">
        <v>4</v>
      </c>
      <c r="AB74" s="10" t="n">
        <v>4</v>
      </c>
      <c r="AC74" s="10" t="n">
        <v>5</v>
      </c>
      <c r="AD74" s="10" t="n">
        <v>5</v>
      </c>
      <c r="AE74" s="10" t="n">
        <v>4</v>
      </c>
      <c r="AF74" s="10" t="n">
        <v>5</v>
      </c>
      <c r="AG74" s="10" t="n">
        <v>3</v>
      </c>
      <c r="AH74" s="11" t="n">
        <f aca="false">IF(V74="","",6-V74)</f>
        <v>2</v>
      </c>
      <c r="AI74" s="11" t="n">
        <f aca="false">IF(W74="","",6-W74)</f>
        <v>3</v>
      </c>
      <c r="AJ74" s="11" t="n">
        <f aca="false">IF(X74="","",6-X74)</f>
        <v>1</v>
      </c>
      <c r="AK74" s="11" t="n">
        <f aca="false">IF(Y74="","",6-Y74)</f>
        <v>1</v>
      </c>
      <c r="AL74" s="11" t="n">
        <f aca="false">IF(COUNT(H74:O74)=8,SUM(H74:O74),"")</f>
        <v>21</v>
      </c>
      <c r="AM74" s="11" t="n">
        <f aca="false">IF(COUNT(P74:U74,AH74:AK74)=10,SUM(P74:U74,AH74:AK74),"")</f>
        <v>23</v>
      </c>
      <c r="AN74" s="11" t="n">
        <f aca="false">IF(COUNT(Z74:AG74)=8,SUM(Z74:AG74),"")</f>
        <v>33</v>
      </c>
      <c r="AO74" s="12" t="n">
        <f aca="false">IF(AL74="","",AL74/8)</f>
        <v>2.625</v>
      </c>
      <c r="AP74" s="12" t="n">
        <f aca="false">IF(AM74="","",AM74/10)</f>
        <v>2.3</v>
      </c>
      <c r="AQ74" s="12" t="n">
        <f aca="false">IF(AN74="","",AN74/8)</f>
        <v>4.125</v>
      </c>
      <c r="AR74" s="11" t="n">
        <f aca="false">IF(A74="","",IF(OR(F74=1,G74=1,AND(E74&lt;&gt;"",E74&lt;=2)),2,IF(AND(E74&gt;=3,G74=2,OR(F74=2,F74=3)),1,"")))</f>
        <v>1</v>
      </c>
      <c r="AS74" s="11" t="str">
        <f aca="false">IF(AR74=1,"טיפוסי",IF(AR74=2,"מתקשה",""))</f>
        <v>טיפוסי</v>
      </c>
      <c r="AT74" s="12" t="n">
        <f aca="false">IF(AR74=1,AO74,"")</f>
        <v>2.625</v>
      </c>
      <c r="AU74" s="12" t="str">
        <f aca="false">IF(AR74=2,AO74,"")</f>
        <v/>
      </c>
      <c r="AV74" s="12" t="n">
        <f aca="false">IF(AR74=1,AP74,"")</f>
        <v>2.3</v>
      </c>
      <c r="AW74" s="12" t="str">
        <f aca="false">IF(AR74=2,AP74,"")</f>
        <v/>
      </c>
      <c r="AX74" s="12" t="n">
        <f aca="false">IF(AR74=1,AQ74,"")</f>
        <v>4.125</v>
      </c>
      <c r="AY74" s="12" t="str">
        <f aca="false">IF(AR74=2,AQ74,"")</f>
        <v/>
      </c>
    </row>
    <row r="75" customFormat="false" ht="15" hidden="false" customHeight="true" outlineLevel="0" collapsed="false">
      <c r="A75" s="10" t="n">
        <v>73</v>
      </c>
      <c r="B75" s="10" t="n">
        <v>2</v>
      </c>
      <c r="C75" s="10" t="n">
        <v>2</v>
      </c>
      <c r="D75" s="10" t="n">
        <v>14</v>
      </c>
      <c r="E75" s="10" t="n">
        <v>4</v>
      </c>
      <c r="F75" s="10" t="n">
        <v>2</v>
      </c>
      <c r="G75" s="10" t="n">
        <v>2</v>
      </c>
      <c r="H75" s="10" t="n">
        <v>3</v>
      </c>
      <c r="I75" s="10" t="n">
        <v>3</v>
      </c>
      <c r="J75" s="10" t="n">
        <v>5</v>
      </c>
      <c r="K75" s="10" t="n">
        <v>4</v>
      </c>
      <c r="L75" s="10" t="n">
        <v>4</v>
      </c>
      <c r="M75" s="10" t="n">
        <v>5</v>
      </c>
      <c r="N75" s="10" t="n">
        <v>5</v>
      </c>
      <c r="O75" s="10" t="n">
        <v>4</v>
      </c>
      <c r="P75" s="10" t="n">
        <v>4</v>
      </c>
      <c r="Q75" s="10" t="n">
        <v>3</v>
      </c>
      <c r="R75" s="10" t="n">
        <v>5</v>
      </c>
      <c r="S75" s="10" t="n">
        <v>5</v>
      </c>
      <c r="T75" s="10" t="n">
        <v>3</v>
      </c>
      <c r="U75" s="10" t="n">
        <v>4</v>
      </c>
      <c r="V75" s="10" t="n">
        <v>3</v>
      </c>
      <c r="W75" s="10" t="n">
        <v>2</v>
      </c>
      <c r="X75" s="10" t="n">
        <v>4</v>
      </c>
      <c r="Y75" s="10" t="n">
        <v>3</v>
      </c>
      <c r="Z75" s="10" t="n">
        <v>4</v>
      </c>
      <c r="AA75" s="10" t="n">
        <v>4</v>
      </c>
      <c r="AB75" s="10" t="n">
        <v>3</v>
      </c>
      <c r="AC75" s="10" t="n">
        <v>5</v>
      </c>
      <c r="AD75" s="10" t="n">
        <v>4</v>
      </c>
      <c r="AE75" s="10" t="n">
        <v>3</v>
      </c>
      <c r="AF75" s="10" t="n">
        <v>3</v>
      </c>
      <c r="AG75" s="10" t="n">
        <v>4</v>
      </c>
      <c r="AH75" s="11" t="n">
        <f aca="false">IF(V75="","",6-V75)</f>
        <v>3</v>
      </c>
      <c r="AI75" s="11" t="n">
        <f aca="false">IF(W75="","",6-W75)</f>
        <v>4</v>
      </c>
      <c r="AJ75" s="11" t="n">
        <f aca="false">IF(X75="","",6-X75)</f>
        <v>2</v>
      </c>
      <c r="AK75" s="11" t="n">
        <f aca="false">IF(Y75="","",6-Y75)</f>
        <v>3</v>
      </c>
      <c r="AL75" s="11" t="n">
        <f aca="false">IF(COUNT(H75:O75)=8,SUM(H75:O75),"")</f>
        <v>33</v>
      </c>
      <c r="AM75" s="11" t="n">
        <f aca="false">IF(COUNT(P75:U75,AH75:AK75)=10,SUM(P75:U75,AH75:AK75),"")</f>
        <v>36</v>
      </c>
      <c r="AN75" s="11" t="n">
        <f aca="false">IF(COUNT(Z75:AG75)=8,SUM(Z75:AG75),"")</f>
        <v>30</v>
      </c>
      <c r="AO75" s="12" t="n">
        <f aca="false">IF(AL75="","",AL75/8)</f>
        <v>4.125</v>
      </c>
      <c r="AP75" s="12" t="n">
        <f aca="false">IF(AM75="","",AM75/10)</f>
        <v>3.6</v>
      </c>
      <c r="AQ75" s="12" t="n">
        <f aca="false">IF(AN75="","",AN75/8)</f>
        <v>3.75</v>
      </c>
      <c r="AR75" s="11" t="n">
        <f aca="false">IF(A75="","",IF(OR(F75=1,G75=1,AND(E75&lt;&gt;"",E75&lt;=2)),2,IF(AND(E75&gt;=3,G75=2,OR(F75=2,F75=3)),1,"")))</f>
        <v>1</v>
      </c>
      <c r="AS75" s="11" t="str">
        <f aca="false">IF(AR75=1,"טיפוסי",IF(AR75=2,"מתקשה",""))</f>
        <v>טיפוסי</v>
      </c>
      <c r="AT75" s="12" t="n">
        <f aca="false">IF(AR75=1,AO75,"")</f>
        <v>4.125</v>
      </c>
      <c r="AU75" s="12" t="str">
        <f aca="false">IF(AR75=2,AO75,"")</f>
        <v/>
      </c>
      <c r="AV75" s="12" t="n">
        <f aca="false">IF(AR75=1,AP75,"")</f>
        <v>3.6</v>
      </c>
      <c r="AW75" s="12" t="str">
        <f aca="false">IF(AR75=2,AP75,"")</f>
        <v/>
      </c>
      <c r="AX75" s="12" t="n">
        <f aca="false">IF(AR75=1,AQ75,"")</f>
        <v>3.75</v>
      </c>
      <c r="AY75" s="12" t="str">
        <f aca="false">IF(AR75=2,AQ75,"")</f>
        <v/>
      </c>
    </row>
    <row r="76" customFormat="false" ht="15" hidden="false" customHeight="true" outlineLevel="0" collapsed="false">
      <c r="A76" s="10" t="n">
        <v>74</v>
      </c>
      <c r="B76" s="10" t="n">
        <v>2</v>
      </c>
      <c r="C76" s="10" t="n">
        <v>1</v>
      </c>
      <c r="D76" s="10" t="n">
        <v>13</v>
      </c>
      <c r="E76" s="10" t="n">
        <v>3</v>
      </c>
      <c r="F76" s="10" t="n">
        <v>2</v>
      </c>
      <c r="G76" s="10" t="n">
        <v>2</v>
      </c>
      <c r="H76" s="10" t="n">
        <v>4</v>
      </c>
      <c r="I76" s="10" t="n">
        <v>5</v>
      </c>
      <c r="J76" s="10" t="n">
        <v>2</v>
      </c>
      <c r="K76" s="10" t="n">
        <v>3</v>
      </c>
      <c r="L76" s="10" t="n">
        <v>5</v>
      </c>
      <c r="M76" s="10" t="n">
        <v>2</v>
      </c>
      <c r="N76" s="10" t="n">
        <v>5</v>
      </c>
      <c r="O76" s="10" t="n">
        <v>4</v>
      </c>
      <c r="P76" s="10" t="n">
        <v>5</v>
      </c>
      <c r="Q76" s="10" t="n">
        <v>4</v>
      </c>
      <c r="R76" s="10" t="n">
        <v>5</v>
      </c>
      <c r="S76" s="10" t="n">
        <v>3</v>
      </c>
      <c r="T76" s="10" t="n">
        <v>4</v>
      </c>
      <c r="U76" s="10" t="n">
        <v>4</v>
      </c>
      <c r="V76" s="10" t="n">
        <v>2</v>
      </c>
      <c r="W76" s="10" t="n">
        <v>1</v>
      </c>
      <c r="X76" s="10" t="n">
        <v>2</v>
      </c>
      <c r="Y76" s="10" t="n">
        <v>1</v>
      </c>
      <c r="Z76" s="10" t="n">
        <v>5</v>
      </c>
      <c r="AA76" s="10" t="n">
        <v>5</v>
      </c>
      <c r="AB76" s="10" t="n">
        <v>5</v>
      </c>
      <c r="AC76" s="10" t="n">
        <v>5</v>
      </c>
      <c r="AD76" s="10" t="n">
        <v>5</v>
      </c>
      <c r="AE76" s="10" t="n">
        <v>4</v>
      </c>
      <c r="AF76" s="10" t="n">
        <v>5</v>
      </c>
      <c r="AG76" s="10" t="n">
        <v>4</v>
      </c>
      <c r="AH76" s="11" t="n">
        <f aca="false">IF(V76="","",6-V76)</f>
        <v>4</v>
      </c>
      <c r="AI76" s="11" t="n">
        <f aca="false">IF(W76="","",6-W76)</f>
        <v>5</v>
      </c>
      <c r="AJ76" s="11" t="n">
        <f aca="false">IF(X76="","",6-X76)</f>
        <v>4</v>
      </c>
      <c r="AK76" s="11" t="n">
        <f aca="false">IF(Y76="","",6-Y76)</f>
        <v>5</v>
      </c>
      <c r="AL76" s="11" t="n">
        <f aca="false">IF(COUNT(H76:O76)=8,SUM(H76:O76),"")</f>
        <v>30</v>
      </c>
      <c r="AM76" s="11" t="n">
        <f aca="false">IF(COUNT(P76:U76,AH76:AK76)=10,SUM(P76:U76,AH76:AK76),"")</f>
        <v>43</v>
      </c>
      <c r="AN76" s="11" t="n">
        <f aca="false">IF(COUNT(Z76:AG76)=8,SUM(Z76:AG76),"")</f>
        <v>38</v>
      </c>
      <c r="AO76" s="12" t="n">
        <f aca="false">IF(AL76="","",AL76/8)</f>
        <v>3.75</v>
      </c>
      <c r="AP76" s="12" t="n">
        <f aca="false">IF(AM76="","",AM76/10)</f>
        <v>4.3</v>
      </c>
      <c r="AQ76" s="12" t="n">
        <f aca="false">IF(AN76="","",AN76/8)</f>
        <v>4.75</v>
      </c>
      <c r="AR76" s="11" t="n">
        <f aca="false">IF(A76="","",IF(OR(F76=1,G76=1,AND(E76&lt;&gt;"",E76&lt;=2)),2,IF(AND(E76&gt;=3,G76=2,OR(F76=2,F76=3)),1,"")))</f>
        <v>1</v>
      </c>
      <c r="AS76" s="11" t="str">
        <f aca="false">IF(AR76=1,"טיפוסי",IF(AR76=2,"מתקשה",""))</f>
        <v>טיפוסי</v>
      </c>
      <c r="AT76" s="12" t="n">
        <f aca="false">IF(AR76=1,AO76,"")</f>
        <v>3.75</v>
      </c>
      <c r="AU76" s="12" t="str">
        <f aca="false">IF(AR76=2,AO76,"")</f>
        <v/>
      </c>
      <c r="AV76" s="12" t="n">
        <f aca="false">IF(AR76=1,AP76,"")</f>
        <v>4.3</v>
      </c>
      <c r="AW76" s="12" t="str">
        <f aca="false">IF(AR76=2,AP76,"")</f>
        <v/>
      </c>
      <c r="AX76" s="12" t="n">
        <f aca="false">IF(AR76=1,AQ76,"")</f>
        <v>4.75</v>
      </c>
      <c r="AY76" s="12" t="str">
        <f aca="false">IF(AR76=2,AQ76,"")</f>
        <v/>
      </c>
    </row>
    <row r="77" customFormat="false" ht="15" hidden="false" customHeight="true" outlineLevel="0" collapsed="false">
      <c r="A77" s="10" t="n">
        <v>75</v>
      </c>
      <c r="B77" s="10" t="n">
        <v>2</v>
      </c>
      <c r="C77" s="10" t="n">
        <v>1</v>
      </c>
      <c r="D77" s="10" t="n">
        <v>13</v>
      </c>
      <c r="E77" s="10" t="n">
        <v>3</v>
      </c>
      <c r="F77" s="10" t="n">
        <v>2</v>
      </c>
      <c r="G77" s="10" t="n">
        <v>2</v>
      </c>
      <c r="H77" s="10" t="n">
        <v>4</v>
      </c>
      <c r="I77" s="10" t="n">
        <v>3</v>
      </c>
      <c r="J77" s="10" t="n">
        <v>4</v>
      </c>
      <c r="K77" s="10" t="n">
        <v>4</v>
      </c>
      <c r="L77" s="10" t="n">
        <v>4</v>
      </c>
      <c r="M77" s="10" t="n">
        <v>5</v>
      </c>
      <c r="N77" s="10" t="n">
        <v>5</v>
      </c>
      <c r="O77" s="10" t="n">
        <v>5</v>
      </c>
      <c r="P77" s="10" t="n">
        <v>4</v>
      </c>
      <c r="Q77" s="10" t="n">
        <v>4</v>
      </c>
      <c r="R77" s="10" t="n">
        <v>4</v>
      </c>
      <c r="S77" s="10" t="n">
        <v>5</v>
      </c>
      <c r="T77" s="10" t="n">
        <v>4</v>
      </c>
      <c r="U77" s="10" t="n">
        <v>4</v>
      </c>
      <c r="V77" s="10" t="n">
        <v>1</v>
      </c>
      <c r="W77" s="10" t="n">
        <v>2</v>
      </c>
      <c r="X77" s="10" t="n">
        <v>2</v>
      </c>
      <c r="Y77" s="10" t="n">
        <v>1</v>
      </c>
      <c r="Z77" s="10" t="n">
        <v>5</v>
      </c>
      <c r="AA77" s="10" t="n">
        <v>5</v>
      </c>
      <c r="AB77" s="10" t="n">
        <v>5</v>
      </c>
      <c r="AC77" s="10" t="n">
        <v>5</v>
      </c>
      <c r="AD77" s="10" t="n">
        <v>5</v>
      </c>
      <c r="AE77" s="10" t="n">
        <v>5</v>
      </c>
      <c r="AF77" s="10" t="n">
        <v>5</v>
      </c>
      <c r="AG77" s="10" t="n">
        <v>5</v>
      </c>
      <c r="AH77" s="11" t="n">
        <f aca="false">IF(V77="","",6-V77)</f>
        <v>5</v>
      </c>
      <c r="AI77" s="11" t="n">
        <f aca="false">IF(W77="","",6-W77)</f>
        <v>4</v>
      </c>
      <c r="AJ77" s="11" t="n">
        <f aca="false">IF(X77="","",6-X77)</f>
        <v>4</v>
      </c>
      <c r="AK77" s="11" t="n">
        <f aca="false">IF(Y77="","",6-Y77)</f>
        <v>5</v>
      </c>
      <c r="AL77" s="11" t="n">
        <f aca="false">IF(COUNT(H77:O77)=8,SUM(H77:O77),"")</f>
        <v>34</v>
      </c>
      <c r="AM77" s="11" t="n">
        <f aca="false">IF(COUNT(P77:U77,AH77:AK77)=10,SUM(P77:U77,AH77:AK77),"")</f>
        <v>43</v>
      </c>
      <c r="AN77" s="11" t="n">
        <f aca="false">IF(COUNT(Z77:AG77)=8,SUM(Z77:AG77),"")</f>
        <v>40</v>
      </c>
      <c r="AO77" s="12" t="n">
        <f aca="false">IF(AL77="","",AL77/8)</f>
        <v>4.25</v>
      </c>
      <c r="AP77" s="12" t="n">
        <f aca="false">IF(AM77="","",AM77/10)</f>
        <v>4.3</v>
      </c>
      <c r="AQ77" s="12" t="n">
        <f aca="false">IF(AN77="","",AN77/8)</f>
        <v>5</v>
      </c>
      <c r="AR77" s="11" t="n">
        <f aca="false">IF(A77="","",IF(OR(F77=1,G77=1,AND(E77&lt;&gt;"",E77&lt;=2)),2,IF(AND(E77&gt;=3,G77=2,OR(F77=2,F77=3)),1,"")))</f>
        <v>1</v>
      </c>
      <c r="AS77" s="11" t="str">
        <f aca="false">IF(AR77=1,"טיפוסי",IF(AR77=2,"מתקשה",""))</f>
        <v>טיפוסי</v>
      </c>
      <c r="AT77" s="12" t="n">
        <f aca="false">IF(AR77=1,AO77,"")</f>
        <v>4.25</v>
      </c>
      <c r="AU77" s="12" t="str">
        <f aca="false">IF(AR77=2,AO77,"")</f>
        <v/>
      </c>
      <c r="AV77" s="12" t="n">
        <f aca="false">IF(AR77=1,AP77,"")</f>
        <v>4.3</v>
      </c>
      <c r="AW77" s="12" t="str">
        <f aca="false">IF(AR77=2,AP77,"")</f>
        <v/>
      </c>
      <c r="AX77" s="12" t="n">
        <f aca="false">IF(AR77=1,AQ77,"")</f>
        <v>5</v>
      </c>
      <c r="AY77" s="12" t="str">
        <f aca="false">IF(AR77=2,AQ77,"")</f>
        <v/>
      </c>
    </row>
    <row r="78" customFormat="false" ht="15" hidden="false" customHeight="true" outlineLevel="0" collapsed="false">
      <c r="A78" s="10" t="n">
        <v>76</v>
      </c>
      <c r="B78" s="10" t="n">
        <v>2</v>
      </c>
      <c r="C78" s="10" t="n">
        <v>3</v>
      </c>
      <c r="D78" s="10" t="n">
        <v>15</v>
      </c>
      <c r="E78" s="10" t="n">
        <v>3</v>
      </c>
      <c r="F78" s="10" t="n">
        <v>2</v>
      </c>
      <c r="G78" s="10" t="n">
        <v>2</v>
      </c>
      <c r="H78" s="10" t="n">
        <v>5</v>
      </c>
      <c r="I78" s="10" t="n">
        <v>5</v>
      </c>
      <c r="J78" s="10" t="n">
        <v>5</v>
      </c>
      <c r="K78" s="10" t="n">
        <v>5</v>
      </c>
      <c r="L78" s="10" t="n">
        <v>5</v>
      </c>
      <c r="M78" s="10" t="n">
        <v>3</v>
      </c>
      <c r="N78" s="10" t="n">
        <v>5</v>
      </c>
      <c r="O78" s="10" t="n">
        <v>5</v>
      </c>
      <c r="P78" s="10" t="n">
        <v>4</v>
      </c>
      <c r="Q78" s="10" t="n">
        <v>5</v>
      </c>
      <c r="R78" s="10" t="n">
        <v>4</v>
      </c>
      <c r="S78" s="10" t="n">
        <v>4</v>
      </c>
      <c r="T78" s="10" t="n">
        <v>4</v>
      </c>
      <c r="U78" s="10" t="n">
        <v>4</v>
      </c>
      <c r="V78" s="10" t="n">
        <v>2</v>
      </c>
      <c r="W78" s="10" t="n">
        <v>2</v>
      </c>
      <c r="X78" s="10" t="n">
        <v>3</v>
      </c>
      <c r="Y78" s="10" t="n">
        <v>3</v>
      </c>
      <c r="Z78" s="10" t="n">
        <v>3</v>
      </c>
      <c r="AA78" s="10" t="n">
        <v>4</v>
      </c>
      <c r="AB78" s="10" t="n">
        <v>4</v>
      </c>
      <c r="AC78" s="10" t="n">
        <v>5</v>
      </c>
      <c r="AD78" s="10" t="n">
        <v>4</v>
      </c>
      <c r="AE78" s="10" t="n">
        <v>5</v>
      </c>
      <c r="AF78" s="10" t="n">
        <v>4</v>
      </c>
      <c r="AG78" s="10" t="n">
        <v>2</v>
      </c>
      <c r="AH78" s="11" t="n">
        <f aca="false">IF(V78="","",6-V78)</f>
        <v>4</v>
      </c>
      <c r="AI78" s="11" t="n">
        <f aca="false">IF(W78="","",6-W78)</f>
        <v>4</v>
      </c>
      <c r="AJ78" s="11" t="n">
        <f aca="false">IF(X78="","",6-X78)</f>
        <v>3</v>
      </c>
      <c r="AK78" s="11" t="n">
        <f aca="false">IF(Y78="","",6-Y78)</f>
        <v>3</v>
      </c>
      <c r="AL78" s="11" t="n">
        <f aca="false">IF(COUNT(H78:O78)=8,SUM(H78:O78),"")</f>
        <v>38</v>
      </c>
      <c r="AM78" s="11" t="n">
        <f aca="false">IF(COUNT(P78:U78,AH78:AK78)=10,SUM(P78:U78,AH78:AK78),"")</f>
        <v>39</v>
      </c>
      <c r="AN78" s="11" t="n">
        <f aca="false">IF(COUNT(Z78:AG78)=8,SUM(Z78:AG78),"")</f>
        <v>31</v>
      </c>
      <c r="AO78" s="12" t="n">
        <f aca="false">IF(AL78="","",AL78/8)</f>
        <v>4.75</v>
      </c>
      <c r="AP78" s="12" t="n">
        <f aca="false">IF(AM78="","",AM78/10)</f>
        <v>3.9</v>
      </c>
      <c r="AQ78" s="12" t="n">
        <f aca="false">IF(AN78="","",AN78/8)</f>
        <v>3.875</v>
      </c>
      <c r="AR78" s="11" t="n">
        <f aca="false">IF(A78="","",IF(OR(F78=1,G78=1,AND(E78&lt;&gt;"",E78&lt;=2)),2,IF(AND(E78&gt;=3,G78=2,OR(F78=2,F78=3)),1,"")))</f>
        <v>1</v>
      </c>
      <c r="AS78" s="11" t="str">
        <f aca="false">IF(AR78=1,"טיפוסי",IF(AR78=2,"מתקשה",""))</f>
        <v>טיפוסי</v>
      </c>
      <c r="AT78" s="12" t="n">
        <f aca="false">IF(AR78=1,AO78,"")</f>
        <v>4.75</v>
      </c>
      <c r="AU78" s="12" t="str">
        <f aca="false">IF(AR78=2,AO78,"")</f>
        <v/>
      </c>
      <c r="AV78" s="12" t="n">
        <f aca="false">IF(AR78=1,AP78,"")</f>
        <v>3.9</v>
      </c>
      <c r="AW78" s="12" t="str">
        <f aca="false">IF(AR78=2,AP78,"")</f>
        <v/>
      </c>
      <c r="AX78" s="12" t="n">
        <f aca="false">IF(AR78=1,AQ78,"")</f>
        <v>3.875</v>
      </c>
      <c r="AY78" s="12" t="str">
        <f aca="false">IF(AR78=2,AQ78,"")</f>
        <v/>
      </c>
    </row>
    <row r="79" customFormat="false" ht="15" hidden="false" customHeight="true" outlineLevel="0" collapsed="false">
      <c r="A79" s="10" t="n">
        <v>77</v>
      </c>
      <c r="B79" s="10" t="n">
        <v>1</v>
      </c>
      <c r="C79" s="10" t="n">
        <v>3</v>
      </c>
      <c r="D79" s="10" t="n">
        <v>15</v>
      </c>
      <c r="E79" s="10" t="n">
        <v>3</v>
      </c>
      <c r="F79" s="10" t="n">
        <v>2</v>
      </c>
      <c r="G79" s="10" t="n">
        <v>2</v>
      </c>
      <c r="H79" s="10" t="n">
        <v>1</v>
      </c>
      <c r="I79" s="10" t="n">
        <v>4</v>
      </c>
      <c r="J79" s="10" t="n">
        <v>4</v>
      </c>
      <c r="K79" s="10" t="n">
        <v>4</v>
      </c>
      <c r="L79" s="10" t="n">
        <v>2</v>
      </c>
      <c r="M79" s="10" t="n">
        <v>3</v>
      </c>
      <c r="N79" s="10" t="n">
        <v>3</v>
      </c>
      <c r="O79" s="10" t="n">
        <v>2</v>
      </c>
      <c r="P79" s="10" t="n">
        <v>3</v>
      </c>
      <c r="Q79" s="10" t="n">
        <v>4</v>
      </c>
      <c r="R79" s="10" t="n">
        <v>4</v>
      </c>
      <c r="S79" s="10" t="n">
        <v>4</v>
      </c>
      <c r="T79" s="10" t="n">
        <v>5</v>
      </c>
      <c r="U79" s="10" t="n">
        <v>3</v>
      </c>
      <c r="V79" s="10" t="n">
        <v>5</v>
      </c>
      <c r="W79" s="10" t="n">
        <v>2</v>
      </c>
      <c r="X79" s="10" t="n">
        <v>1</v>
      </c>
      <c r="Y79" s="10" t="n">
        <v>2</v>
      </c>
      <c r="Z79" s="10" t="n">
        <v>1</v>
      </c>
      <c r="AA79" s="10" t="n">
        <v>1</v>
      </c>
      <c r="AB79" s="10" t="n">
        <v>4</v>
      </c>
      <c r="AC79" s="10" t="n">
        <v>3</v>
      </c>
      <c r="AD79" s="10" t="n">
        <v>3</v>
      </c>
      <c r="AE79" s="10" t="n">
        <v>4</v>
      </c>
      <c r="AF79" s="10" t="n">
        <v>4</v>
      </c>
      <c r="AG79" s="10" t="n">
        <v>1</v>
      </c>
      <c r="AH79" s="11" t="n">
        <f aca="false">IF(V79="","",6-V79)</f>
        <v>1</v>
      </c>
      <c r="AI79" s="11" t="n">
        <f aca="false">IF(W79="","",6-W79)</f>
        <v>4</v>
      </c>
      <c r="AJ79" s="11" t="n">
        <f aca="false">IF(X79="","",6-X79)</f>
        <v>5</v>
      </c>
      <c r="AK79" s="11" t="n">
        <f aca="false">IF(Y79="","",6-Y79)</f>
        <v>4</v>
      </c>
      <c r="AL79" s="11" t="n">
        <f aca="false">IF(COUNT(H79:O79)=8,SUM(H79:O79),"")</f>
        <v>23</v>
      </c>
      <c r="AM79" s="11" t="n">
        <f aca="false">IF(COUNT(P79:U79,AH79:AK79)=10,SUM(P79:U79,AH79:AK79),"")</f>
        <v>37</v>
      </c>
      <c r="AN79" s="11" t="n">
        <f aca="false">IF(COUNT(Z79:AG79)=8,SUM(Z79:AG79),"")</f>
        <v>21</v>
      </c>
      <c r="AO79" s="12" t="n">
        <f aca="false">IF(AL79="","",AL79/8)</f>
        <v>2.875</v>
      </c>
      <c r="AP79" s="12" t="n">
        <f aca="false">IF(AM79="","",AM79/10)</f>
        <v>3.7</v>
      </c>
      <c r="AQ79" s="12" t="n">
        <f aca="false">IF(AN79="","",AN79/8)</f>
        <v>2.625</v>
      </c>
      <c r="AR79" s="11" t="n">
        <f aca="false">IF(A79="","",IF(OR(F79=1,G79=1,AND(E79&lt;&gt;"",E79&lt;=2)),2,IF(AND(E79&gt;=3,G79=2,OR(F79=2,F79=3)),1,"")))</f>
        <v>1</v>
      </c>
      <c r="AS79" s="11" t="str">
        <f aca="false">IF(AR79=1,"טיפוסי",IF(AR79=2,"מתקשה",""))</f>
        <v>טיפוסי</v>
      </c>
      <c r="AT79" s="12" t="n">
        <f aca="false">IF(AR79=1,AO79,"")</f>
        <v>2.875</v>
      </c>
      <c r="AU79" s="12" t="str">
        <f aca="false">IF(AR79=2,AO79,"")</f>
        <v/>
      </c>
      <c r="AV79" s="12" t="n">
        <f aca="false">IF(AR79=1,AP79,"")</f>
        <v>3.7</v>
      </c>
      <c r="AW79" s="12" t="str">
        <f aca="false">IF(AR79=2,AP79,"")</f>
        <v/>
      </c>
      <c r="AX79" s="12" t="n">
        <f aca="false">IF(AR79=1,AQ79,"")</f>
        <v>2.625</v>
      </c>
      <c r="AY79" s="12" t="str">
        <f aca="false">IF(AR79=2,AQ79,"")</f>
        <v/>
      </c>
    </row>
    <row r="80" customFormat="false" ht="15" hidden="false" customHeight="true" outlineLevel="0" collapsed="false">
      <c r="A80" s="10" t="n">
        <v>78</v>
      </c>
      <c r="B80" s="10" t="n">
        <v>2</v>
      </c>
      <c r="C80" s="10" t="n">
        <v>1</v>
      </c>
      <c r="D80" s="10" t="n">
        <v>13</v>
      </c>
      <c r="E80" s="10" t="n">
        <v>2</v>
      </c>
      <c r="F80" s="10" t="n">
        <v>2</v>
      </c>
      <c r="G80" s="10" t="n">
        <v>2</v>
      </c>
      <c r="H80" s="10" t="n">
        <v>3</v>
      </c>
      <c r="I80" s="10" t="n">
        <v>3</v>
      </c>
      <c r="J80" s="10" t="n">
        <v>4</v>
      </c>
      <c r="K80" s="10" t="n">
        <v>3</v>
      </c>
      <c r="L80" s="10" t="n">
        <v>5</v>
      </c>
      <c r="M80" s="10" t="n">
        <v>3</v>
      </c>
      <c r="N80" s="10" t="n">
        <v>3</v>
      </c>
      <c r="O80" s="10" t="n">
        <v>4</v>
      </c>
      <c r="P80" s="10" t="n">
        <v>4</v>
      </c>
      <c r="Q80" s="10" t="n">
        <v>4</v>
      </c>
      <c r="R80" s="10" t="n">
        <v>3</v>
      </c>
      <c r="S80" s="10" t="n">
        <v>4</v>
      </c>
      <c r="T80" s="10" t="n">
        <v>4</v>
      </c>
      <c r="U80" s="10" t="n">
        <v>2</v>
      </c>
      <c r="V80" s="10" t="n">
        <v>4</v>
      </c>
      <c r="W80" s="10" t="n">
        <v>1</v>
      </c>
      <c r="X80" s="10" t="n">
        <v>2</v>
      </c>
      <c r="Y80" s="10" t="n">
        <v>1</v>
      </c>
      <c r="Z80" s="10" t="n">
        <v>4</v>
      </c>
      <c r="AA80" s="10" t="n">
        <v>4</v>
      </c>
      <c r="AB80" s="10" t="n">
        <v>3</v>
      </c>
      <c r="AC80" s="10" t="n">
        <v>4</v>
      </c>
      <c r="AD80" s="10" t="n">
        <v>3</v>
      </c>
      <c r="AE80" s="10" t="n">
        <v>4</v>
      </c>
      <c r="AF80" s="10" t="n">
        <v>5</v>
      </c>
      <c r="AG80" s="10" t="n">
        <v>4</v>
      </c>
      <c r="AH80" s="11" t="n">
        <f aca="false">IF(V80="","",6-V80)</f>
        <v>2</v>
      </c>
      <c r="AI80" s="11" t="n">
        <f aca="false">IF(W80="","",6-W80)</f>
        <v>5</v>
      </c>
      <c r="AJ80" s="11" t="n">
        <f aca="false">IF(X80="","",6-X80)</f>
        <v>4</v>
      </c>
      <c r="AK80" s="11" t="n">
        <f aca="false">IF(Y80="","",6-Y80)</f>
        <v>5</v>
      </c>
      <c r="AL80" s="11" t="n">
        <f aca="false">IF(COUNT(H80:O80)=8,SUM(H80:O80),"")</f>
        <v>28</v>
      </c>
      <c r="AM80" s="11" t="n">
        <f aca="false">IF(COUNT(P80:U80,AH80:AK80)=10,SUM(P80:U80,AH80:AK80),"")</f>
        <v>37</v>
      </c>
      <c r="AN80" s="11" t="n">
        <f aca="false">IF(COUNT(Z80:AG80)=8,SUM(Z80:AG80),"")</f>
        <v>31</v>
      </c>
      <c r="AO80" s="12" t="n">
        <f aca="false">IF(AL80="","",AL80/8)</f>
        <v>3.5</v>
      </c>
      <c r="AP80" s="12" t="n">
        <f aca="false">IF(AM80="","",AM80/10)</f>
        <v>3.7</v>
      </c>
      <c r="AQ80" s="12" t="n">
        <f aca="false">IF(AN80="","",AN80/8)</f>
        <v>3.875</v>
      </c>
      <c r="AR80" s="11" t="n">
        <f aca="false">IF(A80="","",IF(OR(F80=1,G80=1,AND(E80&lt;&gt;"",E80&lt;=2)),2,IF(AND(E80&gt;=3,G80=2,OR(F80=2,F80=3)),1,"")))</f>
        <v>2</v>
      </c>
      <c r="AS80" s="11" t="str">
        <f aca="false">IF(AR80=1,"טיפוסי",IF(AR80=2,"מתקשה",""))</f>
        <v>מתקשה</v>
      </c>
      <c r="AT80" s="12" t="str">
        <f aca="false">IF(AR80=1,AO80,"")</f>
        <v/>
      </c>
      <c r="AU80" s="12" t="n">
        <f aca="false">IF(AR80=2,AO80,"")</f>
        <v>3.5</v>
      </c>
      <c r="AV80" s="12" t="str">
        <f aca="false">IF(AR80=1,AP80,"")</f>
        <v/>
      </c>
      <c r="AW80" s="12" t="n">
        <f aca="false">IF(AR80=2,AP80,"")</f>
        <v>3.7</v>
      </c>
      <c r="AX80" s="12" t="str">
        <f aca="false">IF(AR80=1,AQ80,"")</f>
        <v/>
      </c>
      <c r="AY80" s="12" t="n">
        <f aca="false">IF(AR80=2,AQ80,"")</f>
        <v>3.875</v>
      </c>
    </row>
    <row r="81" customFormat="false" ht="15" hidden="false" customHeight="true" outlineLevel="0" collapsed="false">
      <c r="A81" s="10" t="n">
        <v>79</v>
      </c>
      <c r="B81" s="10" t="n">
        <v>2</v>
      </c>
      <c r="C81" s="10" t="n">
        <v>2</v>
      </c>
      <c r="D81" s="10" t="n">
        <v>13</v>
      </c>
      <c r="E81" s="10" t="n">
        <v>2</v>
      </c>
      <c r="F81" s="10" t="n">
        <v>3</v>
      </c>
      <c r="G81" s="10" t="n">
        <v>2</v>
      </c>
      <c r="H81" s="10" t="n">
        <v>4</v>
      </c>
      <c r="I81" s="10" t="n">
        <v>4</v>
      </c>
      <c r="J81" s="10" t="n">
        <v>2</v>
      </c>
      <c r="K81" s="10" t="n">
        <v>1</v>
      </c>
      <c r="L81" s="10" t="n">
        <v>1</v>
      </c>
      <c r="M81" s="10" t="n">
        <v>2</v>
      </c>
      <c r="N81" s="10" t="n">
        <v>1</v>
      </c>
      <c r="O81" s="10" t="n">
        <v>2</v>
      </c>
      <c r="P81" s="10" t="n">
        <v>2</v>
      </c>
      <c r="Q81" s="10" t="n">
        <v>3</v>
      </c>
      <c r="R81" s="10" t="n">
        <v>1</v>
      </c>
      <c r="S81" s="10" t="n">
        <v>2</v>
      </c>
      <c r="T81" s="10" t="n">
        <v>3</v>
      </c>
      <c r="U81" s="10" t="n">
        <v>1</v>
      </c>
      <c r="V81" s="10" t="n">
        <v>3</v>
      </c>
      <c r="W81" s="10" t="n">
        <v>4</v>
      </c>
      <c r="X81" s="10" t="n">
        <v>2</v>
      </c>
      <c r="Y81" s="10" t="n">
        <v>2</v>
      </c>
      <c r="Z81" s="10" t="n">
        <v>3</v>
      </c>
      <c r="AA81" s="10" t="n">
        <v>4</v>
      </c>
      <c r="AB81" s="10" t="n">
        <v>3</v>
      </c>
      <c r="AC81" s="10" t="n">
        <v>5</v>
      </c>
      <c r="AD81" s="10" t="n">
        <v>5</v>
      </c>
      <c r="AE81" s="10" t="n">
        <v>3</v>
      </c>
      <c r="AF81" s="10" t="n">
        <v>2</v>
      </c>
      <c r="AG81" s="10" t="n">
        <v>3</v>
      </c>
      <c r="AH81" s="11" t="n">
        <f aca="false">IF(V81="","",6-V81)</f>
        <v>3</v>
      </c>
      <c r="AI81" s="11" t="n">
        <f aca="false">IF(W81="","",6-W81)</f>
        <v>2</v>
      </c>
      <c r="AJ81" s="11" t="n">
        <f aca="false">IF(X81="","",6-X81)</f>
        <v>4</v>
      </c>
      <c r="AK81" s="11" t="n">
        <f aca="false">IF(Y81="","",6-Y81)</f>
        <v>4</v>
      </c>
      <c r="AL81" s="11" t="n">
        <f aca="false">IF(COUNT(H81:O81)=8,SUM(H81:O81),"")</f>
        <v>17</v>
      </c>
      <c r="AM81" s="11" t="n">
        <f aca="false">IF(COUNT(P81:U81,AH81:AK81)=10,SUM(P81:U81,AH81:AK81),"")</f>
        <v>25</v>
      </c>
      <c r="AN81" s="11" t="n">
        <f aca="false">IF(COUNT(Z81:AG81)=8,SUM(Z81:AG81),"")</f>
        <v>28</v>
      </c>
      <c r="AO81" s="12" t="n">
        <f aca="false">IF(AL81="","",AL81/8)</f>
        <v>2.125</v>
      </c>
      <c r="AP81" s="12" t="n">
        <f aca="false">IF(AM81="","",AM81/10)</f>
        <v>2.5</v>
      </c>
      <c r="AQ81" s="12" t="n">
        <f aca="false">IF(AN81="","",AN81/8)</f>
        <v>3.5</v>
      </c>
      <c r="AR81" s="11" t="n">
        <f aca="false">IF(A81="","",IF(OR(F81=1,G81=1,AND(E81&lt;&gt;"",E81&lt;=2)),2,IF(AND(E81&gt;=3,G81=2,OR(F81=2,F81=3)),1,"")))</f>
        <v>2</v>
      </c>
      <c r="AS81" s="11" t="str">
        <f aca="false">IF(AR81=1,"טיפוסי",IF(AR81=2,"מתקשה",""))</f>
        <v>מתקשה</v>
      </c>
      <c r="AT81" s="12" t="str">
        <f aca="false">IF(AR81=1,AO81,"")</f>
        <v/>
      </c>
      <c r="AU81" s="12" t="n">
        <f aca="false">IF(AR81=2,AO81,"")</f>
        <v>2.125</v>
      </c>
      <c r="AV81" s="12" t="str">
        <f aca="false">IF(AR81=1,AP81,"")</f>
        <v/>
      </c>
      <c r="AW81" s="12" t="n">
        <f aca="false">IF(AR81=2,AP81,"")</f>
        <v>2.5</v>
      </c>
      <c r="AX81" s="12" t="str">
        <f aca="false">IF(AR81=1,AQ81,"")</f>
        <v/>
      </c>
      <c r="AY81" s="12" t="n">
        <f aca="false">IF(AR81=2,AQ81,"")</f>
        <v>3.5</v>
      </c>
    </row>
    <row r="82" customFormat="false" ht="15" hidden="false" customHeight="true" outlineLevel="0" collapsed="false">
      <c r="A82" s="10" t="n">
        <v>80</v>
      </c>
      <c r="B82" s="10" t="n">
        <v>1</v>
      </c>
      <c r="C82" s="10" t="n">
        <v>1</v>
      </c>
      <c r="D82" s="10" t="n">
        <v>12</v>
      </c>
      <c r="E82" s="10" t="n">
        <v>3</v>
      </c>
      <c r="F82" s="10" t="n">
        <v>2</v>
      </c>
      <c r="G82" s="10" t="n">
        <v>2</v>
      </c>
      <c r="H82" s="10" t="n">
        <v>5</v>
      </c>
      <c r="I82" s="10" t="n">
        <v>4</v>
      </c>
      <c r="J82" s="10" t="n">
        <v>5</v>
      </c>
      <c r="K82" s="10" t="n">
        <v>4</v>
      </c>
      <c r="L82" s="10" t="n">
        <v>5</v>
      </c>
      <c r="M82" s="10" t="n">
        <v>5</v>
      </c>
      <c r="N82" s="10" t="n">
        <v>4</v>
      </c>
      <c r="O82" s="10" t="n">
        <v>4</v>
      </c>
      <c r="P82" s="10" t="n">
        <v>4</v>
      </c>
      <c r="Q82" s="10" t="n">
        <v>3</v>
      </c>
      <c r="R82" s="10" t="n">
        <v>4</v>
      </c>
      <c r="S82" s="10" t="n">
        <v>3</v>
      </c>
      <c r="T82" s="10"/>
      <c r="U82" s="10" t="n">
        <v>4</v>
      </c>
      <c r="V82" s="10" t="n">
        <v>3</v>
      </c>
      <c r="W82" s="10" t="n">
        <v>2</v>
      </c>
      <c r="X82" s="10" t="n">
        <v>3</v>
      </c>
      <c r="Y82" s="10" t="n">
        <v>3</v>
      </c>
      <c r="Z82" s="10" t="n">
        <v>4</v>
      </c>
      <c r="AA82" s="10" t="n">
        <v>3</v>
      </c>
      <c r="AB82" s="10" t="n">
        <v>4</v>
      </c>
      <c r="AC82" s="10" t="n">
        <v>4</v>
      </c>
      <c r="AD82" s="10" t="n">
        <v>4</v>
      </c>
      <c r="AE82" s="10" t="n">
        <v>4</v>
      </c>
      <c r="AF82" s="10" t="n">
        <v>3</v>
      </c>
      <c r="AG82" s="10" t="n">
        <v>4</v>
      </c>
      <c r="AH82" s="11" t="n">
        <f aca="false">IF(V82="","",6-V82)</f>
        <v>3</v>
      </c>
      <c r="AI82" s="11" t="n">
        <f aca="false">IF(W82="","",6-W82)</f>
        <v>4</v>
      </c>
      <c r="AJ82" s="11" t="n">
        <f aca="false">IF(X82="","",6-X82)</f>
        <v>3</v>
      </c>
      <c r="AK82" s="11" t="n">
        <f aca="false">IF(Y82="","",6-Y82)</f>
        <v>3</v>
      </c>
      <c r="AL82" s="11" t="n">
        <f aca="false">IF(COUNT(H82:O82)=8,SUM(H82:O82),"")</f>
        <v>36</v>
      </c>
      <c r="AM82" s="11" t="str">
        <f aca="false">IF(COUNT(P82:U82,AH82:AK82)=10,SUM(P82:U82,AH82:AK82),"")</f>
        <v/>
      </c>
      <c r="AN82" s="11" t="n">
        <f aca="false">IF(COUNT(Z82:AG82)=8,SUM(Z82:AG82),"")</f>
        <v>30</v>
      </c>
      <c r="AO82" s="12" t="n">
        <f aca="false">IF(AL82="","",AL82/8)</f>
        <v>4.5</v>
      </c>
      <c r="AP82" s="12" t="str">
        <f aca="false">IF(AM82="","",AM82/10)</f>
        <v/>
      </c>
      <c r="AQ82" s="12" t="n">
        <f aca="false">IF(AN82="","",AN82/8)</f>
        <v>3.75</v>
      </c>
      <c r="AR82" s="11" t="n">
        <f aca="false">IF(A82="","",IF(OR(F82=1,G82=1,AND(E82&lt;&gt;"",E82&lt;=2)),2,IF(AND(E82&gt;=3,G82=2,OR(F82=2,F82=3)),1,"")))</f>
        <v>1</v>
      </c>
      <c r="AS82" s="11" t="str">
        <f aca="false">IF(AR82=1,"טיפוסי",IF(AR82=2,"מתקשה",""))</f>
        <v>טיפוסי</v>
      </c>
      <c r="AT82" s="12" t="n">
        <f aca="false">IF(AR82=1,AO82,"")</f>
        <v>4.5</v>
      </c>
      <c r="AU82" s="12" t="str">
        <f aca="false">IF(AR82=2,AO82,"")</f>
        <v/>
      </c>
      <c r="AV82" s="12" t="str">
        <f aca="false">IF(AR82=1,AP82,"")</f>
        <v/>
      </c>
      <c r="AW82" s="12" t="str">
        <f aca="false">IF(AR82=2,AP82,"")</f>
        <v/>
      </c>
      <c r="AX82" s="12" t="n">
        <f aca="false">IF(AR82=1,AQ82,"")</f>
        <v>3.75</v>
      </c>
      <c r="AY82" s="12" t="str">
        <f aca="false">IF(AR82=2,AQ82,"")</f>
        <v/>
      </c>
    </row>
    <row r="83" customFormat="false" ht="15" hidden="false" customHeight="true" outlineLevel="0" collapsed="false">
      <c r="A83" s="10" t="n">
        <v>81</v>
      </c>
      <c r="B83" s="10" t="n">
        <v>1</v>
      </c>
      <c r="C83" s="10" t="n">
        <v>3</v>
      </c>
      <c r="D83" s="10" t="n">
        <v>14</v>
      </c>
      <c r="E83" s="10" t="n">
        <v>3</v>
      </c>
      <c r="F83" s="10" t="n">
        <v>2</v>
      </c>
      <c r="G83" s="10" t="n">
        <v>2</v>
      </c>
      <c r="H83" s="10" t="n">
        <v>4</v>
      </c>
      <c r="I83" s="10" t="n">
        <v>5</v>
      </c>
      <c r="J83" s="10" t="n">
        <v>3</v>
      </c>
      <c r="K83" s="10" t="n">
        <v>4</v>
      </c>
      <c r="L83" s="10" t="n">
        <v>3</v>
      </c>
      <c r="M83" s="10" t="n">
        <v>4</v>
      </c>
      <c r="N83" s="10" t="n">
        <v>3</v>
      </c>
      <c r="O83" s="10" t="n">
        <v>3</v>
      </c>
      <c r="P83" s="10" t="n">
        <v>2</v>
      </c>
      <c r="Q83" s="10" t="n">
        <v>2</v>
      </c>
      <c r="R83" s="10" t="n">
        <v>3</v>
      </c>
      <c r="S83" s="10" t="n">
        <v>4</v>
      </c>
      <c r="T83" s="10" t="n">
        <v>4</v>
      </c>
      <c r="U83" s="10" t="n">
        <v>3</v>
      </c>
      <c r="V83" s="10" t="n">
        <v>4</v>
      </c>
      <c r="W83" s="10" t="n">
        <v>3</v>
      </c>
      <c r="X83" s="10" t="n">
        <v>5</v>
      </c>
      <c r="Y83" s="10" t="n">
        <v>4</v>
      </c>
      <c r="Z83" s="10" t="n">
        <v>3</v>
      </c>
      <c r="AA83" s="10" t="n">
        <v>3</v>
      </c>
      <c r="AB83" s="10" t="n">
        <v>4</v>
      </c>
      <c r="AC83" s="10" t="n">
        <v>2</v>
      </c>
      <c r="AD83" s="10" t="n">
        <v>3</v>
      </c>
      <c r="AE83" s="10" t="n">
        <v>3</v>
      </c>
      <c r="AF83" s="10" t="n">
        <v>4</v>
      </c>
      <c r="AG83" s="10" t="n">
        <v>3</v>
      </c>
      <c r="AH83" s="11" t="n">
        <f aca="false">IF(V83="","",6-V83)</f>
        <v>2</v>
      </c>
      <c r="AI83" s="11" t="n">
        <f aca="false">IF(W83="","",6-W83)</f>
        <v>3</v>
      </c>
      <c r="AJ83" s="11" t="n">
        <f aca="false">IF(X83="","",6-X83)</f>
        <v>1</v>
      </c>
      <c r="AK83" s="11" t="n">
        <f aca="false">IF(Y83="","",6-Y83)</f>
        <v>2</v>
      </c>
      <c r="AL83" s="11" t="n">
        <f aca="false">IF(COUNT(H83:O83)=8,SUM(H83:O83),"")</f>
        <v>29</v>
      </c>
      <c r="AM83" s="11" t="n">
        <f aca="false">IF(COUNT(P83:U83,AH83:AK83)=10,SUM(P83:U83,AH83:AK83),"")</f>
        <v>26</v>
      </c>
      <c r="AN83" s="11" t="n">
        <f aca="false">IF(COUNT(Z83:AG83)=8,SUM(Z83:AG83),"")</f>
        <v>25</v>
      </c>
      <c r="AO83" s="12" t="n">
        <f aca="false">IF(AL83="","",AL83/8)</f>
        <v>3.625</v>
      </c>
      <c r="AP83" s="12" t="n">
        <f aca="false">IF(AM83="","",AM83/10)</f>
        <v>2.6</v>
      </c>
      <c r="AQ83" s="12" t="n">
        <f aca="false">IF(AN83="","",AN83/8)</f>
        <v>3.125</v>
      </c>
      <c r="AR83" s="11" t="n">
        <f aca="false">IF(A83="","",IF(OR(F83=1,G83=1,AND(E83&lt;&gt;"",E83&lt;=2)),2,IF(AND(E83&gt;=3,G83=2,OR(F83=2,F83=3)),1,"")))</f>
        <v>1</v>
      </c>
      <c r="AS83" s="11" t="str">
        <f aca="false">IF(AR83=1,"טיפוסי",IF(AR83=2,"מתקשה",""))</f>
        <v>טיפוסי</v>
      </c>
      <c r="AT83" s="12" t="n">
        <f aca="false">IF(AR83=1,AO83,"")</f>
        <v>3.625</v>
      </c>
      <c r="AU83" s="12" t="str">
        <f aca="false">IF(AR83=2,AO83,"")</f>
        <v/>
      </c>
      <c r="AV83" s="12" t="n">
        <f aca="false">IF(AR83=1,AP83,"")</f>
        <v>2.6</v>
      </c>
      <c r="AW83" s="12" t="str">
        <f aca="false">IF(AR83=2,AP83,"")</f>
        <v/>
      </c>
      <c r="AX83" s="12" t="n">
        <f aca="false">IF(AR83=1,AQ83,"")</f>
        <v>3.125</v>
      </c>
      <c r="AY83" s="12" t="str">
        <f aca="false">IF(AR83=2,AQ83,"")</f>
        <v/>
      </c>
    </row>
    <row r="84" customFormat="false" ht="15" hidden="false" customHeight="true" outlineLevel="0" collapsed="false">
      <c r="A84" s="10" t="n">
        <v>82</v>
      </c>
      <c r="B84" s="10" t="n">
        <v>1</v>
      </c>
      <c r="C84" s="10" t="n">
        <v>3</v>
      </c>
      <c r="D84" s="10" t="n">
        <v>15</v>
      </c>
      <c r="E84" s="10" t="n">
        <v>2</v>
      </c>
      <c r="F84" s="10" t="n">
        <v>3</v>
      </c>
      <c r="G84" s="10" t="n">
        <v>2</v>
      </c>
      <c r="H84" s="10" t="n">
        <v>1</v>
      </c>
      <c r="I84" s="10" t="n">
        <v>2</v>
      </c>
      <c r="J84" s="10" t="n">
        <v>4</v>
      </c>
      <c r="K84" s="10" t="n">
        <v>3</v>
      </c>
      <c r="L84" s="10" t="n">
        <v>3</v>
      </c>
      <c r="M84" s="10" t="n">
        <v>2</v>
      </c>
      <c r="N84" s="10" t="n">
        <v>3</v>
      </c>
      <c r="O84" s="10" t="n">
        <v>3</v>
      </c>
      <c r="P84" s="10" t="n">
        <v>2</v>
      </c>
      <c r="Q84" s="10" t="n">
        <v>3</v>
      </c>
      <c r="R84" s="10" t="n">
        <v>1</v>
      </c>
      <c r="S84" s="10" t="n">
        <v>3</v>
      </c>
      <c r="T84" s="10" t="n">
        <v>4</v>
      </c>
      <c r="U84" s="10" t="n">
        <v>4</v>
      </c>
      <c r="V84" s="10" t="n">
        <v>5</v>
      </c>
      <c r="W84" s="10" t="n">
        <v>2</v>
      </c>
      <c r="X84" s="10" t="n">
        <v>5</v>
      </c>
      <c r="Y84" s="10" t="n">
        <v>4</v>
      </c>
      <c r="Z84" s="10" t="n">
        <v>2</v>
      </c>
      <c r="AA84" s="10" t="n">
        <v>3</v>
      </c>
      <c r="AB84" s="10" t="n">
        <v>4</v>
      </c>
      <c r="AC84" s="10" t="n">
        <v>4</v>
      </c>
      <c r="AD84" s="10" t="n">
        <v>3</v>
      </c>
      <c r="AE84" s="10" t="n">
        <v>2</v>
      </c>
      <c r="AF84" s="10" t="n">
        <v>3</v>
      </c>
      <c r="AG84" s="10" t="n">
        <v>5</v>
      </c>
      <c r="AH84" s="11" t="n">
        <f aca="false">IF(V84="","",6-V84)</f>
        <v>1</v>
      </c>
      <c r="AI84" s="11" t="n">
        <f aca="false">IF(W84="","",6-W84)</f>
        <v>4</v>
      </c>
      <c r="AJ84" s="11" t="n">
        <f aca="false">IF(X84="","",6-X84)</f>
        <v>1</v>
      </c>
      <c r="AK84" s="11" t="n">
        <f aca="false">IF(Y84="","",6-Y84)</f>
        <v>2</v>
      </c>
      <c r="AL84" s="11" t="n">
        <f aca="false">IF(COUNT(H84:O84)=8,SUM(H84:O84),"")</f>
        <v>21</v>
      </c>
      <c r="AM84" s="11" t="n">
        <f aca="false">IF(COUNT(P84:U84,AH84:AK84)=10,SUM(P84:U84,AH84:AK84),"")</f>
        <v>25</v>
      </c>
      <c r="AN84" s="11" t="n">
        <f aca="false">IF(COUNT(Z84:AG84)=8,SUM(Z84:AG84),"")</f>
        <v>26</v>
      </c>
      <c r="AO84" s="12" t="n">
        <f aca="false">IF(AL84="","",AL84/8)</f>
        <v>2.625</v>
      </c>
      <c r="AP84" s="12" t="n">
        <f aca="false">IF(AM84="","",AM84/10)</f>
        <v>2.5</v>
      </c>
      <c r="AQ84" s="12" t="n">
        <f aca="false">IF(AN84="","",AN84/8)</f>
        <v>3.25</v>
      </c>
      <c r="AR84" s="11" t="n">
        <f aca="false">IF(A84="","",IF(OR(F84=1,G84=1,AND(E84&lt;&gt;"",E84&lt;=2)),2,IF(AND(E84&gt;=3,G84=2,OR(F84=2,F84=3)),1,"")))</f>
        <v>2</v>
      </c>
      <c r="AS84" s="11" t="str">
        <f aca="false">IF(AR84=1,"טיפוסי",IF(AR84=2,"מתקשה",""))</f>
        <v>מתקשה</v>
      </c>
      <c r="AT84" s="12" t="str">
        <f aca="false">IF(AR84=1,AO84,"")</f>
        <v/>
      </c>
      <c r="AU84" s="12" t="n">
        <f aca="false">IF(AR84=2,AO84,"")</f>
        <v>2.625</v>
      </c>
      <c r="AV84" s="12" t="str">
        <f aca="false">IF(AR84=1,AP84,"")</f>
        <v/>
      </c>
      <c r="AW84" s="12" t="n">
        <f aca="false">IF(AR84=2,AP84,"")</f>
        <v>2.5</v>
      </c>
      <c r="AX84" s="12" t="str">
        <f aca="false">IF(AR84=1,AQ84,"")</f>
        <v/>
      </c>
      <c r="AY84" s="12" t="n">
        <f aca="false">IF(AR84=2,AQ84,"")</f>
        <v>3.25</v>
      </c>
    </row>
    <row r="85" customFormat="false" ht="15" hidden="false" customHeight="true" outlineLevel="0" collapsed="false">
      <c r="A85" s="10" t="n">
        <v>83</v>
      </c>
      <c r="B85" s="10" t="n">
        <v>2</v>
      </c>
      <c r="C85" s="10" t="n">
        <v>2</v>
      </c>
      <c r="D85" s="10" t="n">
        <v>14</v>
      </c>
      <c r="E85" s="10" t="n">
        <v>3</v>
      </c>
      <c r="F85" s="10" t="n">
        <v>2</v>
      </c>
      <c r="G85" s="10" t="n">
        <v>2</v>
      </c>
      <c r="H85" s="10" t="n">
        <v>4</v>
      </c>
      <c r="I85" s="10" t="n">
        <v>2</v>
      </c>
      <c r="J85" s="10" t="n">
        <v>5</v>
      </c>
      <c r="K85" s="10" t="n">
        <v>4</v>
      </c>
      <c r="L85" s="10" t="n">
        <v>4</v>
      </c>
      <c r="M85" s="10" t="n">
        <v>4</v>
      </c>
      <c r="N85" s="10" t="n">
        <v>4</v>
      </c>
      <c r="O85" s="10" t="n">
        <v>4</v>
      </c>
      <c r="P85" s="10" t="n">
        <v>5</v>
      </c>
      <c r="Q85" s="10" t="n">
        <v>4</v>
      </c>
      <c r="R85" s="10" t="n">
        <v>5</v>
      </c>
      <c r="S85" s="10" t="n">
        <v>5</v>
      </c>
      <c r="T85" s="10" t="n">
        <v>5</v>
      </c>
      <c r="U85" s="10" t="n">
        <v>4</v>
      </c>
      <c r="V85" s="10" t="n">
        <v>3</v>
      </c>
      <c r="W85" s="10" t="n">
        <v>2</v>
      </c>
      <c r="X85" s="10" t="n">
        <v>2</v>
      </c>
      <c r="Y85" s="10" t="n">
        <v>3</v>
      </c>
      <c r="Z85" s="10" t="n">
        <v>4</v>
      </c>
      <c r="AA85" s="10" t="n">
        <v>4</v>
      </c>
      <c r="AB85" s="10" t="n">
        <v>4</v>
      </c>
      <c r="AC85" s="10" t="n">
        <v>3</v>
      </c>
      <c r="AD85" s="10" t="n">
        <v>5</v>
      </c>
      <c r="AE85" s="10" t="n">
        <v>4</v>
      </c>
      <c r="AF85" s="10" t="n">
        <v>5</v>
      </c>
      <c r="AG85" s="10" t="n">
        <v>3</v>
      </c>
      <c r="AH85" s="11" t="n">
        <f aca="false">IF(V85="","",6-V85)</f>
        <v>3</v>
      </c>
      <c r="AI85" s="11" t="n">
        <f aca="false">IF(W85="","",6-W85)</f>
        <v>4</v>
      </c>
      <c r="AJ85" s="11" t="n">
        <f aca="false">IF(X85="","",6-X85)</f>
        <v>4</v>
      </c>
      <c r="AK85" s="11" t="n">
        <f aca="false">IF(Y85="","",6-Y85)</f>
        <v>3</v>
      </c>
      <c r="AL85" s="11" t="n">
        <f aca="false">IF(COUNT(H85:O85)=8,SUM(H85:O85),"")</f>
        <v>31</v>
      </c>
      <c r="AM85" s="11" t="n">
        <f aca="false">IF(COUNT(P85:U85,AH85:AK85)=10,SUM(P85:U85,AH85:AK85),"")</f>
        <v>42</v>
      </c>
      <c r="AN85" s="11" t="n">
        <f aca="false">IF(COUNT(Z85:AG85)=8,SUM(Z85:AG85),"")</f>
        <v>32</v>
      </c>
      <c r="AO85" s="12" t="n">
        <f aca="false">IF(AL85="","",AL85/8)</f>
        <v>3.875</v>
      </c>
      <c r="AP85" s="12" t="n">
        <f aca="false">IF(AM85="","",AM85/10)</f>
        <v>4.2</v>
      </c>
      <c r="AQ85" s="12" t="n">
        <f aca="false">IF(AN85="","",AN85/8)</f>
        <v>4</v>
      </c>
      <c r="AR85" s="11" t="n">
        <f aca="false">IF(A85="","",IF(OR(F85=1,G85=1,AND(E85&lt;&gt;"",E85&lt;=2)),2,IF(AND(E85&gt;=3,G85=2,OR(F85=2,F85=3)),1,"")))</f>
        <v>1</v>
      </c>
      <c r="AS85" s="11" t="str">
        <f aca="false">IF(AR85=1,"טיפוסי",IF(AR85=2,"מתקשה",""))</f>
        <v>טיפוסי</v>
      </c>
      <c r="AT85" s="12" t="n">
        <f aca="false">IF(AR85=1,AO85,"")</f>
        <v>3.875</v>
      </c>
      <c r="AU85" s="12" t="str">
        <f aca="false">IF(AR85=2,AO85,"")</f>
        <v/>
      </c>
      <c r="AV85" s="12" t="n">
        <f aca="false">IF(AR85=1,AP85,"")</f>
        <v>4.2</v>
      </c>
      <c r="AW85" s="12" t="str">
        <f aca="false">IF(AR85=2,AP85,"")</f>
        <v/>
      </c>
      <c r="AX85" s="12" t="n">
        <f aca="false">IF(AR85=1,AQ85,"")</f>
        <v>4</v>
      </c>
      <c r="AY85" s="12" t="str">
        <f aca="false">IF(AR85=2,AQ85,"")</f>
        <v/>
      </c>
    </row>
    <row r="86" customFormat="false" ht="15" hidden="false" customHeight="true" outlineLevel="0" collapsed="false">
      <c r="A86" s="10" t="n">
        <v>84</v>
      </c>
      <c r="B86" s="10" t="n">
        <v>1</v>
      </c>
      <c r="C86" s="10" t="n">
        <v>3</v>
      </c>
      <c r="D86" s="10" t="n">
        <v>15</v>
      </c>
      <c r="E86" s="10" t="n">
        <v>3</v>
      </c>
      <c r="F86" s="10" t="n">
        <v>2</v>
      </c>
      <c r="G86" s="10" t="n">
        <v>2</v>
      </c>
      <c r="H86" s="10" t="n">
        <v>4</v>
      </c>
      <c r="I86" s="10" t="n">
        <v>4</v>
      </c>
      <c r="J86" s="10" t="n">
        <v>3</v>
      </c>
      <c r="K86" s="10" t="n">
        <v>4</v>
      </c>
      <c r="L86" s="10" t="n">
        <v>5</v>
      </c>
      <c r="M86" s="10" t="n">
        <v>3</v>
      </c>
      <c r="N86" s="10" t="n">
        <v>4</v>
      </c>
      <c r="O86" s="10" t="n">
        <v>5</v>
      </c>
      <c r="P86" s="10" t="n">
        <v>4</v>
      </c>
      <c r="Q86" s="10" t="n">
        <v>2</v>
      </c>
      <c r="R86" s="10" t="n">
        <v>4</v>
      </c>
      <c r="S86" s="10" t="n">
        <v>5</v>
      </c>
      <c r="T86" s="10" t="n">
        <v>5</v>
      </c>
      <c r="U86" s="10" t="n">
        <v>3</v>
      </c>
      <c r="V86" s="10" t="n">
        <v>5</v>
      </c>
      <c r="W86" s="10" t="n">
        <v>3</v>
      </c>
      <c r="X86" s="10" t="n">
        <v>4</v>
      </c>
      <c r="Y86" s="10" t="n">
        <v>4</v>
      </c>
      <c r="Z86" s="10" t="n">
        <v>1</v>
      </c>
      <c r="AA86" s="10" t="n">
        <v>2</v>
      </c>
      <c r="AB86" s="10" t="n">
        <v>3</v>
      </c>
      <c r="AC86" s="10" t="n">
        <v>4</v>
      </c>
      <c r="AD86" s="10" t="n">
        <v>3</v>
      </c>
      <c r="AE86" s="10" t="n">
        <v>3</v>
      </c>
      <c r="AF86" s="10" t="n">
        <v>2</v>
      </c>
      <c r="AG86" s="10" t="n">
        <v>2</v>
      </c>
      <c r="AH86" s="11" t="n">
        <f aca="false">IF(V86="","",6-V86)</f>
        <v>1</v>
      </c>
      <c r="AI86" s="11" t="n">
        <f aca="false">IF(W86="","",6-W86)</f>
        <v>3</v>
      </c>
      <c r="AJ86" s="11" t="n">
        <f aca="false">IF(X86="","",6-X86)</f>
        <v>2</v>
      </c>
      <c r="AK86" s="11" t="n">
        <f aca="false">IF(Y86="","",6-Y86)</f>
        <v>2</v>
      </c>
      <c r="AL86" s="11" t="n">
        <f aca="false">IF(COUNT(H86:O86)=8,SUM(H86:O86),"")</f>
        <v>32</v>
      </c>
      <c r="AM86" s="11" t="n">
        <f aca="false">IF(COUNT(P86:U86,AH86:AK86)=10,SUM(P86:U86,AH86:AK86),"")</f>
        <v>31</v>
      </c>
      <c r="AN86" s="11" t="n">
        <f aca="false">IF(COUNT(Z86:AG86)=8,SUM(Z86:AG86),"")</f>
        <v>20</v>
      </c>
      <c r="AO86" s="12" t="n">
        <f aca="false">IF(AL86="","",AL86/8)</f>
        <v>4</v>
      </c>
      <c r="AP86" s="12" t="n">
        <f aca="false">IF(AM86="","",AM86/10)</f>
        <v>3.1</v>
      </c>
      <c r="AQ86" s="12" t="n">
        <f aca="false">IF(AN86="","",AN86/8)</f>
        <v>2.5</v>
      </c>
      <c r="AR86" s="11" t="n">
        <f aca="false">IF(A86="","",IF(OR(F86=1,G86=1,AND(E86&lt;&gt;"",E86&lt;=2)),2,IF(AND(E86&gt;=3,G86=2,OR(F86=2,F86=3)),1,"")))</f>
        <v>1</v>
      </c>
      <c r="AS86" s="11" t="str">
        <f aca="false">IF(AR86=1,"טיפוסי",IF(AR86=2,"מתקשה",""))</f>
        <v>טיפוסי</v>
      </c>
      <c r="AT86" s="12" t="n">
        <f aca="false">IF(AR86=1,AO86,"")</f>
        <v>4</v>
      </c>
      <c r="AU86" s="12" t="str">
        <f aca="false">IF(AR86=2,AO86,"")</f>
        <v/>
      </c>
      <c r="AV86" s="12" t="n">
        <f aca="false">IF(AR86=1,AP86,"")</f>
        <v>3.1</v>
      </c>
      <c r="AW86" s="12" t="str">
        <f aca="false">IF(AR86=2,AP86,"")</f>
        <v/>
      </c>
      <c r="AX86" s="12" t="n">
        <f aca="false">IF(AR86=1,AQ86,"")</f>
        <v>2.5</v>
      </c>
      <c r="AY86" s="12" t="str">
        <f aca="false">IF(AR86=2,AQ86,"")</f>
        <v/>
      </c>
    </row>
    <row r="87" customFormat="false" ht="15" hidden="false" customHeight="true" outlineLevel="0" collapsed="false">
      <c r="A87" s="10" t="n">
        <v>85</v>
      </c>
      <c r="B87" s="10" t="n">
        <v>1</v>
      </c>
      <c r="C87" s="10" t="n">
        <v>2</v>
      </c>
      <c r="D87" s="10" t="n">
        <v>14</v>
      </c>
      <c r="E87" s="10" t="n">
        <v>3</v>
      </c>
      <c r="F87" s="10" t="n">
        <v>2</v>
      </c>
      <c r="G87" s="10" t="n">
        <v>2</v>
      </c>
      <c r="H87" s="10" t="n">
        <v>4</v>
      </c>
      <c r="I87" s="10" t="n">
        <v>4</v>
      </c>
      <c r="J87" s="10" t="n">
        <v>4</v>
      </c>
      <c r="K87" s="10" t="n">
        <v>5</v>
      </c>
      <c r="L87" s="10" t="n">
        <v>3</v>
      </c>
      <c r="M87" s="10" t="n">
        <v>4</v>
      </c>
      <c r="N87" s="10" t="n">
        <v>3</v>
      </c>
      <c r="O87" s="10" t="n">
        <v>3</v>
      </c>
      <c r="P87" s="10" t="n">
        <v>4</v>
      </c>
      <c r="Q87" s="10" t="n">
        <v>3</v>
      </c>
      <c r="R87" s="10" t="n">
        <v>4</v>
      </c>
      <c r="S87" s="10" t="n">
        <v>4</v>
      </c>
      <c r="T87" s="10" t="n">
        <v>5</v>
      </c>
      <c r="U87" s="10" t="n">
        <v>2</v>
      </c>
      <c r="V87" s="10" t="n">
        <v>2</v>
      </c>
      <c r="W87" s="10" t="n">
        <v>2</v>
      </c>
      <c r="X87" s="10" t="n">
        <v>3</v>
      </c>
      <c r="Y87" s="10" t="n">
        <v>2</v>
      </c>
      <c r="Z87" s="10" t="n">
        <v>4</v>
      </c>
      <c r="AA87" s="10" t="n">
        <v>4</v>
      </c>
      <c r="AB87" s="10" t="n">
        <v>2</v>
      </c>
      <c r="AC87" s="10" t="n">
        <v>4</v>
      </c>
      <c r="AD87" s="10" t="n">
        <v>4</v>
      </c>
      <c r="AE87" s="10" t="n">
        <v>4</v>
      </c>
      <c r="AF87" s="10" t="n">
        <v>4</v>
      </c>
      <c r="AG87" s="10" t="n">
        <v>5</v>
      </c>
      <c r="AH87" s="11" t="n">
        <f aca="false">IF(V87="","",6-V87)</f>
        <v>4</v>
      </c>
      <c r="AI87" s="11" t="n">
        <f aca="false">IF(W87="","",6-W87)</f>
        <v>4</v>
      </c>
      <c r="AJ87" s="11" t="n">
        <f aca="false">IF(X87="","",6-X87)</f>
        <v>3</v>
      </c>
      <c r="AK87" s="11" t="n">
        <f aca="false">IF(Y87="","",6-Y87)</f>
        <v>4</v>
      </c>
      <c r="AL87" s="11" t="n">
        <f aca="false">IF(COUNT(H87:O87)=8,SUM(H87:O87),"")</f>
        <v>30</v>
      </c>
      <c r="AM87" s="11" t="n">
        <f aca="false">IF(COUNT(P87:U87,AH87:AK87)=10,SUM(P87:U87,AH87:AK87),"")</f>
        <v>37</v>
      </c>
      <c r="AN87" s="11" t="n">
        <f aca="false">IF(COUNT(Z87:AG87)=8,SUM(Z87:AG87),"")</f>
        <v>31</v>
      </c>
      <c r="AO87" s="12" t="n">
        <f aca="false">IF(AL87="","",AL87/8)</f>
        <v>3.75</v>
      </c>
      <c r="AP87" s="12" t="n">
        <f aca="false">IF(AM87="","",AM87/10)</f>
        <v>3.7</v>
      </c>
      <c r="AQ87" s="12" t="n">
        <f aca="false">IF(AN87="","",AN87/8)</f>
        <v>3.875</v>
      </c>
      <c r="AR87" s="11" t="n">
        <f aca="false">IF(A87="","",IF(OR(F87=1,G87=1,AND(E87&lt;&gt;"",E87&lt;=2)),2,IF(AND(E87&gt;=3,G87=2,OR(F87=2,F87=3)),1,"")))</f>
        <v>1</v>
      </c>
      <c r="AS87" s="11" t="str">
        <f aca="false">IF(AR87=1,"טיפוסי",IF(AR87=2,"מתקשה",""))</f>
        <v>טיפוסי</v>
      </c>
      <c r="AT87" s="12" t="n">
        <f aca="false">IF(AR87=1,AO87,"")</f>
        <v>3.75</v>
      </c>
      <c r="AU87" s="12" t="str">
        <f aca="false">IF(AR87=2,AO87,"")</f>
        <v/>
      </c>
      <c r="AV87" s="12" t="n">
        <f aca="false">IF(AR87=1,AP87,"")</f>
        <v>3.7</v>
      </c>
      <c r="AW87" s="12" t="str">
        <f aca="false">IF(AR87=2,AP87,"")</f>
        <v/>
      </c>
      <c r="AX87" s="12" t="n">
        <f aca="false">IF(AR87=1,AQ87,"")</f>
        <v>3.875</v>
      </c>
      <c r="AY87" s="12" t="str">
        <f aca="false">IF(AR87=2,AQ87,"")</f>
        <v/>
      </c>
    </row>
    <row r="88" customFormat="false" ht="15" hidden="false" customHeight="true" outlineLevel="0" collapsed="false">
      <c r="A88" s="10" t="n">
        <v>86</v>
      </c>
      <c r="B88" s="10" t="n">
        <v>2</v>
      </c>
      <c r="C88" s="10" t="n">
        <v>2</v>
      </c>
      <c r="D88" s="10" t="n">
        <v>13</v>
      </c>
      <c r="E88" s="10" t="n">
        <v>4</v>
      </c>
      <c r="F88" s="10" t="n">
        <v>3</v>
      </c>
      <c r="G88" s="10" t="n">
        <v>2</v>
      </c>
      <c r="H88" s="10" t="n">
        <v>5</v>
      </c>
      <c r="I88" s="10" t="n">
        <v>5</v>
      </c>
      <c r="J88" s="10" t="n">
        <v>4</v>
      </c>
      <c r="K88" s="10" t="n">
        <v>5</v>
      </c>
      <c r="L88" s="10" t="n">
        <v>5</v>
      </c>
      <c r="M88" s="10" t="n">
        <v>5</v>
      </c>
      <c r="N88" s="10" t="n">
        <v>4</v>
      </c>
      <c r="O88" s="10" t="n">
        <v>5</v>
      </c>
      <c r="P88" s="10" t="n">
        <v>3</v>
      </c>
      <c r="Q88" s="10" t="n">
        <v>1</v>
      </c>
      <c r="R88" s="10" t="n">
        <v>2</v>
      </c>
      <c r="S88" s="10" t="n">
        <v>3</v>
      </c>
      <c r="T88" s="10" t="n">
        <v>2</v>
      </c>
      <c r="U88" s="10" t="n">
        <v>3</v>
      </c>
      <c r="V88" s="10" t="n">
        <v>3</v>
      </c>
      <c r="W88" s="10" t="n">
        <v>3</v>
      </c>
      <c r="X88" s="10" t="n">
        <v>2</v>
      </c>
      <c r="Y88" s="10" t="n">
        <v>3</v>
      </c>
      <c r="Z88" s="10" t="n">
        <v>2</v>
      </c>
      <c r="AA88" s="10" t="n">
        <v>2</v>
      </c>
      <c r="AB88" s="10" t="n">
        <v>3</v>
      </c>
      <c r="AC88" s="10" t="n">
        <v>1</v>
      </c>
      <c r="AD88" s="10" t="n">
        <v>2</v>
      </c>
      <c r="AE88" s="10" t="n">
        <v>2</v>
      </c>
      <c r="AF88" s="10" t="n">
        <v>3</v>
      </c>
      <c r="AG88" s="10" t="n">
        <v>2</v>
      </c>
      <c r="AH88" s="11" t="n">
        <f aca="false">IF(V88="","",6-V88)</f>
        <v>3</v>
      </c>
      <c r="AI88" s="11" t="n">
        <f aca="false">IF(W88="","",6-W88)</f>
        <v>3</v>
      </c>
      <c r="AJ88" s="11" t="n">
        <f aca="false">IF(X88="","",6-X88)</f>
        <v>4</v>
      </c>
      <c r="AK88" s="11" t="n">
        <f aca="false">IF(Y88="","",6-Y88)</f>
        <v>3</v>
      </c>
      <c r="AL88" s="11" t="n">
        <f aca="false">IF(COUNT(H88:O88)=8,SUM(H88:O88),"")</f>
        <v>38</v>
      </c>
      <c r="AM88" s="11" t="n">
        <f aca="false">IF(COUNT(P88:U88,AH88:AK88)=10,SUM(P88:U88,AH88:AK88),"")</f>
        <v>27</v>
      </c>
      <c r="AN88" s="11" t="n">
        <f aca="false">IF(COUNT(Z88:AG88)=8,SUM(Z88:AG88),"")</f>
        <v>17</v>
      </c>
      <c r="AO88" s="12" t="n">
        <f aca="false">IF(AL88="","",AL88/8)</f>
        <v>4.75</v>
      </c>
      <c r="AP88" s="12" t="n">
        <f aca="false">IF(AM88="","",AM88/10)</f>
        <v>2.7</v>
      </c>
      <c r="AQ88" s="12" t="n">
        <f aca="false">IF(AN88="","",AN88/8)</f>
        <v>2.125</v>
      </c>
      <c r="AR88" s="11" t="n">
        <f aca="false">IF(A88="","",IF(OR(F88=1,G88=1,AND(E88&lt;&gt;"",E88&lt;=2)),2,IF(AND(E88&gt;=3,G88=2,OR(F88=2,F88=3)),1,"")))</f>
        <v>1</v>
      </c>
      <c r="AS88" s="11" t="str">
        <f aca="false">IF(AR88=1,"טיפוסי",IF(AR88=2,"מתקשה",""))</f>
        <v>טיפוסי</v>
      </c>
      <c r="AT88" s="12" t="n">
        <f aca="false">IF(AR88=1,AO88,"")</f>
        <v>4.75</v>
      </c>
      <c r="AU88" s="12" t="str">
        <f aca="false">IF(AR88=2,AO88,"")</f>
        <v/>
      </c>
      <c r="AV88" s="12" t="n">
        <f aca="false">IF(AR88=1,AP88,"")</f>
        <v>2.7</v>
      </c>
      <c r="AW88" s="12" t="str">
        <f aca="false">IF(AR88=2,AP88,"")</f>
        <v/>
      </c>
      <c r="AX88" s="12" t="n">
        <f aca="false">IF(AR88=1,AQ88,"")</f>
        <v>2.125</v>
      </c>
      <c r="AY88" s="12" t="str">
        <f aca="false">IF(AR88=2,AQ88,"")</f>
        <v/>
      </c>
    </row>
    <row r="89" customFormat="false" ht="15" hidden="false" customHeight="true" outlineLevel="0" collapsed="false">
      <c r="A89" s="10" t="n">
        <v>87</v>
      </c>
      <c r="B89" s="10" t="n">
        <v>2</v>
      </c>
      <c r="C89" s="10" t="n">
        <v>2</v>
      </c>
      <c r="D89" s="10" t="n">
        <v>13</v>
      </c>
      <c r="E89" s="10" t="n">
        <v>3</v>
      </c>
      <c r="F89" s="10" t="n">
        <v>2</v>
      </c>
      <c r="G89" s="10" t="n">
        <v>1</v>
      </c>
      <c r="H89" s="10" t="n">
        <v>1</v>
      </c>
      <c r="I89" s="10" t="n">
        <v>5</v>
      </c>
      <c r="J89" s="10" t="n">
        <v>4</v>
      </c>
      <c r="K89" s="10" t="n">
        <v>3</v>
      </c>
      <c r="L89" s="10" t="n">
        <v>5</v>
      </c>
      <c r="M89" s="10" t="n">
        <v>3</v>
      </c>
      <c r="N89" s="10" t="n">
        <v>4</v>
      </c>
      <c r="O89" s="10" t="n">
        <v>4</v>
      </c>
      <c r="P89" s="10" t="n">
        <v>3</v>
      </c>
      <c r="Q89" s="10" t="n">
        <v>3</v>
      </c>
      <c r="R89" s="10" t="n">
        <v>4</v>
      </c>
      <c r="S89" s="10" t="n">
        <v>4</v>
      </c>
      <c r="T89" s="10" t="n">
        <v>4</v>
      </c>
      <c r="U89" s="10" t="n">
        <v>2</v>
      </c>
      <c r="V89" s="10" t="n">
        <v>2</v>
      </c>
      <c r="W89" s="10" t="n">
        <v>3</v>
      </c>
      <c r="X89" s="10" t="n">
        <v>4</v>
      </c>
      <c r="Y89" s="10" t="n">
        <v>3</v>
      </c>
      <c r="Z89" s="10" t="n">
        <v>3</v>
      </c>
      <c r="AA89" s="10" t="n">
        <v>3</v>
      </c>
      <c r="AB89" s="10" t="n">
        <v>3</v>
      </c>
      <c r="AC89" s="10" t="n">
        <v>3</v>
      </c>
      <c r="AD89" s="10" t="n">
        <v>4</v>
      </c>
      <c r="AE89" s="10" t="n">
        <v>2</v>
      </c>
      <c r="AF89" s="10" t="n">
        <v>2</v>
      </c>
      <c r="AG89" s="10" t="n">
        <v>3</v>
      </c>
      <c r="AH89" s="11" t="n">
        <f aca="false">IF(V89="","",6-V89)</f>
        <v>4</v>
      </c>
      <c r="AI89" s="11" t="n">
        <f aca="false">IF(W89="","",6-W89)</f>
        <v>3</v>
      </c>
      <c r="AJ89" s="11" t="n">
        <f aca="false">IF(X89="","",6-X89)</f>
        <v>2</v>
      </c>
      <c r="AK89" s="11" t="n">
        <f aca="false">IF(Y89="","",6-Y89)</f>
        <v>3</v>
      </c>
      <c r="AL89" s="11" t="n">
        <f aca="false">IF(COUNT(H89:O89)=8,SUM(H89:O89),"")</f>
        <v>29</v>
      </c>
      <c r="AM89" s="11" t="n">
        <f aca="false">IF(COUNT(P89:U89,AH89:AK89)=10,SUM(P89:U89,AH89:AK89),"")</f>
        <v>32</v>
      </c>
      <c r="AN89" s="11" t="n">
        <f aca="false">IF(COUNT(Z89:AG89)=8,SUM(Z89:AG89),"")</f>
        <v>23</v>
      </c>
      <c r="AO89" s="12" t="n">
        <f aca="false">IF(AL89="","",AL89/8)</f>
        <v>3.625</v>
      </c>
      <c r="AP89" s="12" t="n">
        <f aca="false">IF(AM89="","",AM89/10)</f>
        <v>3.2</v>
      </c>
      <c r="AQ89" s="12" t="n">
        <f aca="false">IF(AN89="","",AN89/8)</f>
        <v>2.875</v>
      </c>
      <c r="AR89" s="11" t="n">
        <f aca="false">IF(A89="","",IF(OR(F89=1,G89=1,AND(E89&lt;&gt;"",E89&lt;=2)),2,IF(AND(E89&gt;=3,G89=2,OR(F89=2,F89=3)),1,"")))</f>
        <v>2</v>
      </c>
      <c r="AS89" s="11" t="str">
        <f aca="false">IF(AR89=1,"טיפוסי",IF(AR89=2,"מתקשה",""))</f>
        <v>מתקשה</v>
      </c>
      <c r="AT89" s="12" t="str">
        <f aca="false">IF(AR89=1,AO89,"")</f>
        <v/>
      </c>
      <c r="AU89" s="12" t="n">
        <f aca="false">IF(AR89=2,AO89,"")</f>
        <v>3.625</v>
      </c>
      <c r="AV89" s="12" t="str">
        <f aca="false">IF(AR89=1,AP89,"")</f>
        <v/>
      </c>
      <c r="AW89" s="12" t="n">
        <f aca="false">IF(AR89=2,AP89,"")</f>
        <v>3.2</v>
      </c>
      <c r="AX89" s="12" t="str">
        <f aca="false">IF(AR89=1,AQ89,"")</f>
        <v/>
      </c>
      <c r="AY89" s="12" t="n">
        <f aca="false">IF(AR89=2,AQ89,"")</f>
        <v>2.875</v>
      </c>
    </row>
    <row r="90" customFormat="false" ht="15" hidden="false" customHeight="true" outlineLevel="0" collapsed="false">
      <c r="A90" s="10" t="n">
        <v>88</v>
      </c>
      <c r="B90" s="10" t="n">
        <v>2</v>
      </c>
      <c r="C90" s="10" t="n">
        <v>1</v>
      </c>
      <c r="D90" s="10" t="n">
        <v>13</v>
      </c>
      <c r="E90" s="10" t="n">
        <v>1</v>
      </c>
      <c r="F90" s="10" t="n">
        <v>3</v>
      </c>
      <c r="G90" s="10" t="n">
        <v>2</v>
      </c>
      <c r="H90" s="10" t="n">
        <v>4</v>
      </c>
      <c r="I90" s="10" t="n">
        <v>3</v>
      </c>
      <c r="J90" s="10" t="n">
        <v>4</v>
      </c>
      <c r="K90" s="10" t="n">
        <v>3</v>
      </c>
      <c r="L90" s="10" t="n">
        <v>3</v>
      </c>
      <c r="M90" s="10" t="n">
        <v>3</v>
      </c>
      <c r="N90" s="10" t="n">
        <v>2</v>
      </c>
      <c r="O90" s="10" t="n">
        <v>4</v>
      </c>
      <c r="P90" s="10" t="n">
        <v>3</v>
      </c>
      <c r="Q90" s="10" t="n">
        <v>2</v>
      </c>
      <c r="R90" s="10" t="n">
        <v>3</v>
      </c>
      <c r="S90" s="10" t="n">
        <v>4</v>
      </c>
      <c r="T90" s="10" t="n">
        <v>3</v>
      </c>
      <c r="U90" s="10" t="n">
        <v>4</v>
      </c>
      <c r="V90" s="10" t="n">
        <v>2</v>
      </c>
      <c r="W90" s="10" t="n">
        <v>2</v>
      </c>
      <c r="X90" s="10" t="n">
        <v>2</v>
      </c>
      <c r="Y90" s="10" t="n">
        <v>2</v>
      </c>
      <c r="Z90" s="10" t="n">
        <v>4</v>
      </c>
      <c r="AA90" s="10" t="n">
        <v>3</v>
      </c>
      <c r="AB90" s="10" t="n">
        <v>2</v>
      </c>
      <c r="AC90" s="10" t="n">
        <v>3</v>
      </c>
      <c r="AD90" s="10" t="n">
        <v>2</v>
      </c>
      <c r="AE90" s="10" t="n">
        <v>3</v>
      </c>
      <c r="AF90" s="10" t="n">
        <v>5</v>
      </c>
      <c r="AG90" s="10" t="n">
        <v>2</v>
      </c>
      <c r="AH90" s="11" t="n">
        <f aca="false">IF(V90="","",6-V90)</f>
        <v>4</v>
      </c>
      <c r="AI90" s="11" t="n">
        <f aca="false">IF(W90="","",6-W90)</f>
        <v>4</v>
      </c>
      <c r="AJ90" s="11" t="n">
        <f aca="false">IF(X90="","",6-X90)</f>
        <v>4</v>
      </c>
      <c r="AK90" s="11" t="n">
        <f aca="false">IF(Y90="","",6-Y90)</f>
        <v>4</v>
      </c>
      <c r="AL90" s="11" t="n">
        <f aca="false">IF(COUNT(H90:O90)=8,SUM(H90:O90),"")</f>
        <v>26</v>
      </c>
      <c r="AM90" s="11" t="n">
        <f aca="false">IF(COUNT(P90:U90,AH90:AK90)=10,SUM(P90:U90,AH90:AK90),"")</f>
        <v>35</v>
      </c>
      <c r="AN90" s="11" t="n">
        <f aca="false">IF(COUNT(Z90:AG90)=8,SUM(Z90:AG90),"")</f>
        <v>24</v>
      </c>
      <c r="AO90" s="12" t="n">
        <f aca="false">IF(AL90="","",AL90/8)</f>
        <v>3.25</v>
      </c>
      <c r="AP90" s="12" t="n">
        <f aca="false">IF(AM90="","",AM90/10)</f>
        <v>3.5</v>
      </c>
      <c r="AQ90" s="12" t="n">
        <f aca="false">IF(AN90="","",AN90/8)</f>
        <v>3</v>
      </c>
      <c r="AR90" s="11" t="n">
        <f aca="false">IF(A90="","",IF(OR(F90=1,G90=1,AND(E90&lt;&gt;"",E90&lt;=2)),2,IF(AND(E90&gt;=3,G90=2,OR(F90=2,F90=3)),1,"")))</f>
        <v>2</v>
      </c>
      <c r="AS90" s="11" t="str">
        <f aca="false">IF(AR90=1,"טיפוסי",IF(AR90=2,"מתקשה",""))</f>
        <v>מתקשה</v>
      </c>
      <c r="AT90" s="12" t="str">
        <f aca="false">IF(AR90=1,AO90,"")</f>
        <v/>
      </c>
      <c r="AU90" s="12" t="n">
        <f aca="false">IF(AR90=2,AO90,"")</f>
        <v>3.25</v>
      </c>
      <c r="AV90" s="12" t="str">
        <f aca="false">IF(AR90=1,AP90,"")</f>
        <v/>
      </c>
      <c r="AW90" s="12" t="n">
        <f aca="false">IF(AR90=2,AP90,"")</f>
        <v>3.5</v>
      </c>
      <c r="AX90" s="12" t="str">
        <f aca="false">IF(AR90=1,AQ90,"")</f>
        <v/>
      </c>
      <c r="AY90" s="12" t="n">
        <f aca="false">IF(AR90=2,AQ90,"")</f>
        <v>3</v>
      </c>
    </row>
    <row r="91" customFormat="false" ht="15" hidden="false" customHeight="true" outlineLevel="0" collapsed="false">
      <c r="A91" s="10" t="n">
        <v>89</v>
      </c>
      <c r="B91" s="10" t="n">
        <v>1</v>
      </c>
      <c r="C91" s="10" t="n">
        <v>1</v>
      </c>
      <c r="D91" s="10" t="n">
        <v>12</v>
      </c>
      <c r="E91" s="10" t="n">
        <v>3</v>
      </c>
      <c r="F91" s="10" t="n">
        <v>3</v>
      </c>
      <c r="G91" s="10" t="n">
        <v>2</v>
      </c>
      <c r="H91" s="10" t="n">
        <v>2</v>
      </c>
      <c r="I91" s="10" t="n">
        <v>2</v>
      </c>
      <c r="J91" s="10" t="n">
        <v>4</v>
      </c>
      <c r="K91" s="10" t="n">
        <v>2</v>
      </c>
      <c r="L91" s="10" t="n">
        <v>4</v>
      </c>
      <c r="M91" s="10" t="n">
        <v>4</v>
      </c>
      <c r="N91" s="10" t="n">
        <v>4</v>
      </c>
      <c r="O91" s="10" t="n">
        <v>3</v>
      </c>
      <c r="P91" s="10" t="n">
        <v>3</v>
      </c>
      <c r="Q91" s="10" t="n">
        <v>3</v>
      </c>
      <c r="R91" s="10" t="n">
        <v>5</v>
      </c>
      <c r="S91" s="10" t="n">
        <v>5</v>
      </c>
      <c r="T91" s="10" t="n">
        <v>3</v>
      </c>
      <c r="U91" s="10" t="n">
        <v>5</v>
      </c>
      <c r="V91" s="10" t="n">
        <v>2</v>
      </c>
      <c r="W91" s="10" t="n">
        <v>2</v>
      </c>
      <c r="X91" s="10" t="n">
        <v>3</v>
      </c>
      <c r="Y91" s="10" t="n">
        <v>1</v>
      </c>
      <c r="Z91" s="10" t="n">
        <v>3</v>
      </c>
      <c r="AA91" s="10" t="n">
        <v>2</v>
      </c>
      <c r="AB91" s="10" t="n">
        <v>4</v>
      </c>
      <c r="AC91" s="10" t="n">
        <v>3</v>
      </c>
      <c r="AD91" s="10" t="n">
        <v>4</v>
      </c>
      <c r="AE91" s="10" t="n">
        <v>3</v>
      </c>
      <c r="AF91" s="10" t="n">
        <v>1</v>
      </c>
      <c r="AG91" s="10" t="n">
        <v>4</v>
      </c>
      <c r="AH91" s="11" t="n">
        <f aca="false">IF(V91="","",6-V91)</f>
        <v>4</v>
      </c>
      <c r="AI91" s="11" t="n">
        <f aca="false">IF(W91="","",6-W91)</f>
        <v>4</v>
      </c>
      <c r="AJ91" s="11" t="n">
        <f aca="false">IF(X91="","",6-X91)</f>
        <v>3</v>
      </c>
      <c r="AK91" s="11" t="n">
        <f aca="false">IF(Y91="","",6-Y91)</f>
        <v>5</v>
      </c>
      <c r="AL91" s="11" t="n">
        <f aca="false">IF(COUNT(H91:O91)=8,SUM(H91:O91),"")</f>
        <v>25</v>
      </c>
      <c r="AM91" s="11" t="n">
        <f aca="false">IF(COUNT(P91:U91,AH91:AK91)=10,SUM(P91:U91,AH91:AK91),"")</f>
        <v>40</v>
      </c>
      <c r="AN91" s="11" t="n">
        <f aca="false">IF(COUNT(Z91:AG91)=8,SUM(Z91:AG91),"")</f>
        <v>24</v>
      </c>
      <c r="AO91" s="12" t="n">
        <f aca="false">IF(AL91="","",AL91/8)</f>
        <v>3.125</v>
      </c>
      <c r="AP91" s="12" t="n">
        <f aca="false">IF(AM91="","",AM91/10)</f>
        <v>4</v>
      </c>
      <c r="AQ91" s="12" t="n">
        <f aca="false">IF(AN91="","",AN91/8)</f>
        <v>3</v>
      </c>
      <c r="AR91" s="11" t="n">
        <f aca="false">IF(A91="","",IF(OR(F91=1,G91=1,AND(E91&lt;&gt;"",E91&lt;=2)),2,IF(AND(E91&gt;=3,G91=2,OR(F91=2,F91=3)),1,"")))</f>
        <v>1</v>
      </c>
      <c r="AS91" s="11" t="str">
        <f aca="false">IF(AR91=1,"טיפוסי",IF(AR91=2,"מתקשה",""))</f>
        <v>טיפוסי</v>
      </c>
      <c r="AT91" s="12" t="n">
        <f aca="false">IF(AR91=1,AO91,"")</f>
        <v>3.125</v>
      </c>
      <c r="AU91" s="12" t="str">
        <f aca="false">IF(AR91=2,AO91,"")</f>
        <v/>
      </c>
      <c r="AV91" s="12" t="n">
        <f aca="false">IF(AR91=1,AP91,"")</f>
        <v>4</v>
      </c>
      <c r="AW91" s="12" t="str">
        <f aca="false">IF(AR91=2,AP91,"")</f>
        <v/>
      </c>
      <c r="AX91" s="12" t="n">
        <f aca="false">IF(AR91=1,AQ91,"")</f>
        <v>3</v>
      </c>
      <c r="AY91" s="12" t="str">
        <f aca="false">IF(AR91=2,AQ91,"")</f>
        <v/>
      </c>
    </row>
    <row r="92" customFormat="false" ht="15" hidden="false" customHeight="true" outlineLevel="0" collapsed="false">
      <c r="A92" s="10" t="n">
        <v>90</v>
      </c>
      <c r="B92" s="10" t="n">
        <v>2</v>
      </c>
      <c r="C92" s="10" t="n">
        <v>1</v>
      </c>
      <c r="D92" s="10" t="n">
        <v>13</v>
      </c>
      <c r="E92" s="10" t="n">
        <v>3</v>
      </c>
      <c r="F92" s="10" t="n">
        <v>2</v>
      </c>
      <c r="G92" s="10" t="n">
        <v>2</v>
      </c>
      <c r="H92" s="10" t="n">
        <v>4</v>
      </c>
      <c r="I92" s="10" t="n">
        <v>2</v>
      </c>
      <c r="J92" s="10" t="n">
        <v>3</v>
      </c>
      <c r="K92" s="10" t="n">
        <v>3</v>
      </c>
      <c r="L92" s="10" t="n">
        <v>5</v>
      </c>
      <c r="M92" s="10" t="n">
        <v>3</v>
      </c>
      <c r="N92" s="10" t="n">
        <v>4</v>
      </c>
      <c r="O92" s="10" t="n">
        <v>4</v>
      </c>
      <c r="P92" s="10" t="n">
        <v>4</v>
      </c>
      <c r="Q92" s="10" t="n">
        <v>5</v>
      </c>
      <c r="R92" s="10" t="n">
        <v>4</v>
      </c>
      <c r="S92" s="10" t="n">
        <v>4</v>
      </c>
      <c r="T92" s="10" t="n">
        <v>3</v>
      </c>
      <c r="U92" s="10" t="n">
        <v>4</v>
      </c>
      <c r="V92" s="10" t="n">
        <v>3</v>
      </c>
      <c r="W92" s="10" t="n">
        <v>3</v>
      </c>
      <c r="X92" s="10" t="n">
        <v>4</v>
      </c>
      <c r="Y92" s="10" t="n">
        <v>3</v>
      </c>
      <c r="Z92" s="10" t="n">
        <v>5</v>
      </c>
      <c r="AA92" s="10" t="n">
        <v>3</v>
      </c>
      <c r="AB92" s="10" t="n">
        <v>4</v>
      </c>
      <c r="AC92" s="10" t="n">
        <v>4</v>
      </c>
      <c r="AD92" s="10" t="n">
        <v>4</v>
      </c>
      <c r="AE92" s="10" t="n">
        <v>4</v>
      </c>
      <c r="AF92" s="10" t="n">
        <v>3</v>
      </c>
      <c r="AG92" s="10" t="n">
        <v>5</v>
      </c>
      <c r="AH92" s="11" t="n">
        <f aca="false">IF(V92="","",6-V92)</f>
        <v>3</v>
      </c>
      <c r="AI92" s="11" t="n">
        <f aca="false">IF(W92="","",6-W92)</f>
        <v>3</v>
      </c>
      <c r="AJ92" s="11" t="n">
        <f aca="false">IF(X92="","",6-X92)</f>
        <v>2</v>
      </c>
      <c r="AK92" s="11" t="n">
        <f aca="false">IF(Y92="","",6-Y92)</f>
        <v>3</v>
      </c>
      <c r="AL92" s="11" t="n">
        <f aca="false">IF(COUNT(H92:O92)=8,SUM(H92:O92),"")</f>
        <v>28</v>
      </c>
      <c r="AM92" s="11" t="n">
        <f aca="false">IF(COUNT(P92:U92,AH92:AK92)=10,SUM(P92:U92,AH92:AK92),"")</f>
        <v>35</v>
      </c>
      <c r="AN92" s="11" t="n">
        <f aca="false">IF(COUNT(Z92:AG92)=8,SUM(Z92:AG92),"")</f>
        <v>32</v>
      </c>
      <c r="AO92" s="12" t="n">
        <f aca="false">IF(AL92="","",AL92/8)</f>
        <v>3.5</v>
      </c>
      <c r="AP92" s="12" t="n">
        <f aca="false">IF(AM92="","",AM92/10)</f>
        <v>3.5</v>
      </c>
      <c r="AQ92" s="12" t="n">
        <f aca="false">IF(AN92="","",AN92/8)</f>
        <v>4</v>
      </c>
      <c r="AR92" s="11" t="n">
        <f aca="false">IF(A92="","",IF(OR(F92=1,G92=1,AND(E92&lt;&gt;"",E92&lt;=2)),2,IF(AND(E92&gt;=3,G92=2,OR(F92=2,F92=3)),1,"")))</f>
        <v>1</v>
      </c>
      <c r="AS92" s="11" t="str">
        <f aca="false">IF(AR92=1,"טיפוסי",IF(AR92=2,"מתקשה",""))</f>
        <v>טיפוסי</v>
      </c>
      <c r="AT92" s="12" t="n">
        <f aca="false">IF(AR92=1,AO92,"")</f>
        <v>3.5</v>
      </c>
      <c r="AU92" s="12" t="str">
        <f aca="false">IF(AR92=2,AO92,"")</f>
        <v/>
      </c>
      <c r="AV92" s="12" t="n">
        <f aca="false">IF(AR92=1,AP92,"")</f>
        <v>3.5</v>
      </c>
      <c r="AW92" s="12" t="str">
        <f aca="false">IF(AR92=2,AP92,"")</f>
        <v/>
      </c>
      <c r="AX92" s="12" t="n">
        <f aca="false">IF(AR92=1,AQ92,"")</f>
        <v>4</v>
      </c>
      <c r="AY92" s="12" t="str">
        <f aca="false">IF(AR92=2,AQ92,"")</f>
        <v/>
      </c>
    </row>
    <row r="93" customFormat="false" ht="15" hidden="false" customHeight="true" outlineLevel="0" collapsed="false">
      <c r="A93" s="10" t="n">
        <v>91</v>
      </c>
      <c r="B93" s="10" t="n">
        <v>1</v>
      </c>
      <c r="C93" s="10" t="n">
        <v>2</v>
      </c>
      <c r="D93" s="10" t="n">
        <v>13</v>
      </c>
      <c r="E93" s="10" t="n">
        <v>4</v>
      </c>
      <c r="F93" s="10" t="n">
        <v>1</v>
      </c>
      <c r="G93" s="10" t="n">
        <v>1</v>
      </c>
      <c r="H93" s="10" t="n">
        <v>3</v>
      </c>
      <c r="I93" s="10" t="n">
        <v>4</v>
      </c>
      <c r="J93" s="10" t="n">
        <v>4</v>
      </c>
      <c r="K93" s="10" t="n">
        <v>4</v>
      </c>
      <c r="L93" s="10" t="n">
        <v>3</v>
      </c>
      <c r="M93" s="10" t="n">
        <v>5</v>
      </c>
      <c r="N93" s="10" t="n">
        <v>5</v>
      </c>
      <c r="O93" s="10" t="n">
        <v>4</v>
      </c>
      <c r="P93" s="10" t="n">
        <v>5</v>
      </c>
      <c r="Q93" s="10" t="n">
        <v>4</v>
      </c>
      <c r="R93" s="10" t="n">
        <v>3</v>
      </c>
      <c r="S93" s="10" t="n">
        <v>5</v>
      </c>
      <c r="T93" s="10" t="n">
        <v>5</v>
      </c>
      <c r="U93" s="10" t="n">
        <v>5</v>
      </c>
      <c r="V93" s="10" t="n">
        <v>1</v>
      </c>
      <c r="W93" s="10" t="n">
        <v>1</v>
      </c>
      <c r="X93" s="10" t="n">
        <v>2</v>
      </c>
      <c r="Y93" s="10" t="n">
        <v>3</v>
      </c>
      <c r="Z93" s="10" t="n">
        <v>2</v>
      </c>
      <c r="AA93" s="10" t="n">
        <v>4</v>
      </c>
      <c r="AB93" s="10" t="n">
        <v>3</v>
      </c>
      <c r="AC93" s="10" t="n">
        <v>3</v>
      </c>
      <c r="AD93" s="10" t="n">
        <v>3</v>
      </c>
      <c r="AE93" s="10" t="n">
        <v>2</v>
      </c>
      <c r="AF93" s="10" t="n">
        <v>2</v>
      </c>
      <c r="AG93" s="10" t="n">
        <v>5</v>
      </c>
      <c r="AH93" s="11" t="n">
        <f aca="false">IF(V93="","",6-V93)</f>
        <v>5</v>
      </c>
      <c r="AI93" s="11" t="n">
        <f aca="false">IF(W93="","",6-W93)</f>
        <v>5</v>
      </c>
      <c r="AJ93" s="11" t="n">
        <f aca="false">IF(X93="","",6-X93)</f>
        <v>4</v>
      </c>
      <c r="AK93" s="11" t="n">
        <f aca="false">IF(Y93="","",6-Y93)</f>
        <v>3</v>
      </c>
      <c r="AL93" s="11" t="n">
        <f aca="false">IF(COUNT(H93:O93)=8,SUM(H93:O93),"")</f>
        <v>32</v>
      </c>
      <c r="AM93" s="11" t="n">
        <f aca="false">IF(COUNT(P93:U93,AH93:AK93)=10,SUM(P93:U93,AH93:AK93),"")</f>
        <v>44</v>
      </c>
      <c r="AN93" s="11" t="n">
        <f aca="false">IF(COUNT(Z93:AG93)=8,SUM(Z93:AG93),"")</f>
        <v>24</v>
      </c>
      <c r="AO93" s="12" t="n">
        <f aca="false">IF(AL93="","",AL93/8)</f>
        <v>4</v>
      </c>
      <c r="AP93" s="12" t="n">
        <f aca="false">IF(AM93="","",AM93/10)</f>
        <v>4.4</v>
      </c>
      <c r="AQ93" s="12" t="n">
        <f aca="false">IF(AN93="","",AN93/8)</f>
        <v>3</v>
      </c>
      <c r="AR93" s="11" t="n">
        <f aca="false">IF(A93="","",IF(OR(F93=1,G93=1,AND(E93&lt;&gt;"",E93&lt;=2)),2,IF(AND(E93&gt;=3,G93=2,OR(F93=2,F93=3)),1,"")))</f>
        <v>2</v>
      </c>
      <c r="AS93" s="11" t="str">
        <f aca="false">IF(AR93=1,"טיפוסי",IF(AR93=2,"מתקשה",""))</f>
        <v>מתקשה</v>
      </c>
      <c r="AT93" s="12" t="str">
        <f aca="false">IF(AR93=1,AO93,"")</f>
        <v/>
      </c>
      <c r="AU93" s="12" t="n">
        <f aca="false">IF(AR93=2,AO93,"")</f>
        <v>4</v>
      </c>
      <c r="AV93" s="12" t="str">
        <f aca="false">IF(AR93=1,AP93,"")</f>
        <v/>
      </c>
      <c r="AW93" s="12" t="n">
        <f aca="false">IF(AR93=2,AP93,"")</f>
        <v>4.4</v>
      </c>
      <c r="AX93" s="12" t="str">
        <f aca="false">IF(AR93=1,AQ93,"")</f>
        <v/>
      </c>
      <c r="AY93" s="12" t="n">
        <f aca="false">IF(AR93=2,AQ93,"")</f>
        <v>3</v>
      </c>
    </row>
    <row r="94" customFormat="false" ht="15" hidden="false" customHeight="true" outlineLevel="0" collapsed="false">
      <c r="A94" s="10" t="n">
        <v>92</v>
      </c>
      <c r="B94" s="10" t="n">
        <v>1</v>
      </c>
      <c r="C94" s="10" t="n">
        <v>1</v>
      </c>
      <c r="D94" s="10" t="n">
        <v>12</v>
      </c>
      <c r="E94" s="10" t="n">
        <v>3</v>
      </c>
      <c r="F94" s="10" t="n">
        <v>2</v>
      </c>
      <c r="G94" s="10" t="n">
        <v>2</v>
      </c>
      <c r="H94" s="10" t="n">
        <v>1</v>
      </c>
      <c r="I94" s="10" t="n">
        <v>5</v>
      </c>
      <c r="J94" s="10" t="n">
        <v>4</v>
      </c>
      <c r="K94" s="10" t="n">
        <v>4</v>
      </c>
      <c r="L94" s="10" t="n">
        <v>3</v>
      </c>
      <c r="M94" s="10" t="n">
        <v>4</v>
      </c>
      <c r="N94" s="10" t="n">
        <v>4</v>
      </c>
      <c r="O94" s="10" t="n">
        <v>3</v>
      </c>
      <c r="P94" s="10" t="n">
        <v>4</v>
      </c>
      <c r="Q94" s="10" t="n">
        <v>3</v>
      </c>
      <c r="R94" s="10" t="n">
        <v>3</v>
      </c>
      <c r="S94" s="10" t="n">
        <v>3</v>
      </c>
      <c r="T94" s="10" t="n">
        <v>4</v>
      </c>
      <c r="U94" s="10" t="n">
        <v>5</v>
      </c>
      <c r="V94" s="10" t="n">
        <v>1</v>
      </c>
      <c r="W94" s="10" t="n">
        <v>3</v>
      </c>
      <c r="X94" s="10" t="n">
        <v>2</v>
      </c>
      <c r="Y94" s="10" t="n">
        <v>2</v>
      </c>
      <c r="Z94" s="10" t="n">
        <v>2</v>
      </c>
      <c r="AA94" s="10" t="n">
        <v>4</v>
      </c>
      <c r="AB94" s="10" t="n">
        <v>5</v>
      </c>
      <c r="AC94" s="10" t="n">
        <v>4</v>
      </c>
      <c r="AD94" s="10" t="n">
        <v>5</v>
      </c>
      <c r="AE94" s="10" t="n">
        <v>5</v>
      </c>
      <c r="AF94" s="10" t="n">
        <v>2</v>
      </c>
      <c r="AG94" s="10" t="n">
        <v>5</v>
      </c>
      <c r="AH94" s="11" t="n">
        <f aca="false">IF(V94="","",6-V94)</f>
        <v>5</v>
      </c>
      <c r="AI94" s="11" t="n">
        <f aca="false">IF(W94="","",6-W94)</f>
        <v>3</v>
      </c>
      <c r="AJ94" s="11" t="n">
        <f aca="false">IF(X94="","",6-X94)</f>
        <v>4</v>
      </c>
      <c r="AK94" s="11" t="n">
        <f aca="false">IF(Y94="","",6-Y94)</f>
        <v>4</v>
      </c>
      <c r="AL94" s="11" t="n">
        <f aca="false">IF(COUNT(H94:O94)=8,SUM(H94:O94),"")</f>
        <v>28</v>
      </c>
      <c r="AM94" s="11" t="n">
        <f aca="false">IF(COUNT(P94:U94,AH94:AK94)=10,SUM(P94:U94,AH94:AK94),"")</f>
        <v>38</v>
      </c>
      <c r="AN94" s="11" t="n">
        <f aca="false">IF(COUNT(Z94:AG94)=8,SUM(Z94:AG94),"")</f>
        <v>32</v>
      </c>
      <c r="AO94" s="12" t="n">
        <f aca="false">IF(AL94="","",AL94/8)</f>
        <v>3.5</v>
      </c>
      <c r="AP94" s="12" t="n">
        <f aca="false">IF(AM94="","",AM94/10)</f>
        <v>3.8</v>
      </c>
      <c r="AQ94" s="12" t="n">
        <f aca="false">IF(AN94="","",AN94/8)</f>
        <v>4</v>
      </c>
      <c r="AR94" s="11" t="n">
        <f aca="false">IF(A94="","",IF(OR(F94=1,G94=1,AND(E94&lt;&gt;"",E94&lt;=2)),2,IF(AND(E94&gt;=3,G94=2,OR(F94=2,F94=3)),1,"")))</f>
        <v>1</v>
      </c>
      <c r="AS94" s="11" t="str">
        <f aca="false">IF(AR94=1,"טיפוסי",IF(AR94=2,"מתקשה",""))</f>
        <v>טיפוסי</v>
      </c>
      <c r="AT94" s="12" t="n">
        <f aca="false">IF(AR94=1,AO94,"")</f>
        <v>3.5</v>
      </c>
      <c r="AU94" s="12" t="str">
        <f aca="false">IF(AR94=2,AO94,"")</f>
        <v/>
      </c>
      <c r="AV94" s="12" t="n">
        <f aca="false">IF(AR94=1,AP94,"")</f>
        <v>3.8</v>
      </c>
      <c r="AW94" s="12" t="str">
        <f aca="false">IF(AR94=2,AP94,"")</f>
        <v/>
      </c>
      <c r="AX94" s="12" t="n">
        <f aca="false">IF(AR94=1,AQ94,"")</f>
        <v>4</v>
      </c>
      <c r="AY94" s="12" t="str">
        <f aca="false">IF(AR94=2,AQ94,"")</f>
        <v/>
      </c>
    </row>
    <row r="95" customFormat="false" ht="15" hidden="false" customHeight="true" outlineLevel="0" collapsed="false">
      <c r="A95" s="10" t="n">
        <v>93</v>
      </c>
      <c r="B95" s="10" t="n">
        <v>2</v>
      </c>
      <c r="C95" s="10" t="n">
        <v>3</v>
      </c>
      <c r="D95" s="10" t="n">
        <v>15</v>
      </c>
      <c r="E95" s="10" t="n">
        <v>3</v>
      </c>
      <c r="F95" s="10" t="n">
        <v>2</v>
      </c>
      <c r="G95" s="10" t="n">
        <v>2</v>
      </c>
      <c r="H95" s="10" t="n">
        <v>4</v>
      </c>
      <c r="I95" s="10" t="n">
        <v>3</v>
      </c>
      <c r="J95" s="10" t="n">
        <v>3</v>
      </c>
      <c r="K95" s="10" t="n">
        <v>4</v>
      </c>
      <c r="L95" s="10" t="n">
        <v>5</v>
      </c>
      <c r="M95" s="10" t="n">
        <v>2</v>
      </c>
      <c r="N95" s="10" t="n">
        <v>5</v>
      </c>
      <c r="O95" s="10" t="n">
        <v>5</v>
      </c>
      <c r="P95" s="10" t="n">
        <v>2</v>
      </c>
      <c r="Q95" s="10" t="n">
        <v>3</v>
      </c>
      <c r="R95" s="10" t="n">
        <v>4</v>
      </c>
      <c r="S95" s="10" t="n">
        <v>3</v>
      </c>
      <c r="T95" s="10" t="n">
        <v>5</v>
      </c>
      <c r="U95" s="10" t="n">
        <v>3</v>
      </c>
      <c r="V95" s="10" t="n">
        <v>1</v>
      </c>
      <c r="W95" s="10" t="n">
        <v>2</v>
      </c>
      <c r="X95" s="10" t="n">
        <v>4</v>
      </c>
      <c r="Y95" s="10" t="n">
        <v>3</v>
      </c>
      <c r="Z95" s="10" t="n">
        <v>5</v>
      </c>
      <c r="AA95" s="10" t="n">
        <v>3</v>
      </c>
      <c r="AB95" s="10" t="n">
        <v>5</v>
      </c>
      <c r="AC95" s="10" t="n">
        <v>3</v>
      </c>
      <c r="AD95" s="10" t="n">
        <v>4</v>
      </c>
      <c r="AE95" s="10" t="n">
        <v>4</v>
      </c>
      <c r="AF95" s="10" t="n">
        <v>4</v>
      </c>
      <c r="AG95" s="10" t="n">
        <v>3</v>
      </c>
      <c r="AH95" s="11" t="n">
        <f aca="false">IF(V95="","",6-V95)</f>
        <v>5</v>
      </c>
      <c r="AI95" s="11" t="n">
        <f aca="false">IF(W95="","",6-W95)</f>
        <v>4</v>
      </c>
      <c r="AJ95" s="11" t="n">
        <f aca="false">IF(X95="","",6-X95)</f>
        <v>2</v>
      </c>
      <c r="AK95" s="11" t="n">
        <f aca="false">IF(Y95="","",6-Y95)</f>
        <v>3</v>
      </c>
      <c r="AL95" s="11" t="n">
        <f aca="false">IF(COUNT(H95:O95)=8,SUM(H95:O95),"")</f>
        <v>31</v>
      </c>
      <c r="AM95" s="11" t="n">
        <f aca="false">IF(COUNT(P95:U95,AH95:AK95)=10,SUM(P95:U95,AH95:AK95),"")</f>
        <v>34</v>
      </c>
      <c r="AN95" s="11" t="n">
        <f aca="false">IF(COUNT(Z95:AG95)=8,SUM(Z95:AG95),"")</f>
        <v>31</v>
      </c>
      <c r="AO95" s="12" t="n">
        <f aca="false">IF(AL95="","",AL95/8)</f>
        <v>3.875</v>
      </c>
      <c r="AP95" s="12" t="n">
        <f aca="false">IF(AM95="","",AM95/10)</f>
        <v>3.4</v>
      </c>
      <c r="AQ95" s="12" t="n">
        <f aca="false">IF(AN95="","",AN95/8)</f>
        <v>3.875</v>
      </c>
      <c r="AR95" s="11" t="n">
        <f aca="false">IF(A95="","",IF(OR(F95=1,G95=1,AND(E95&lt;&gt;"",E95&lt;=2)),2,IF(AND(E95&gt;=3,G95=2,OR(F95=2,F95=3)),1,"")))</f>
        <v>1</v>
      </c>
      <c r="AS95" s="11" t="str">
        <f aca="false">IF(AR95=1,"טיפוסי",IF(AR95=2,"מתקשה",""))</f>
        <v>טיפוסי</v>
      </c>
      <c r="AT95" s="12" t="n">
        <f aca="false">IF(AR95=1,AO95,"")</f>
        <v>3.875</v>
      </c>
      <c r="AU95" s="12" t="str">
        <f aca="false">IF(AR95=2,AO95,"")</f>
        <v/>
      </c>
      <c r="AV95" s="12" t="n">
        <f aca="false">IF(AR95=1,AP95,"")</f>
        <v>3.4</v>
      </c>
      <c r="AW95" s="12" t="str">
        <f aca="false">IF(AR95=2,AP95,"")</f>
        <v/>
      </c>
      <c r="AX95" s="12" t="n">
        <f aca="false">IF(AR95=1,AQ95,"")</f>
        <v>3.875</v>
      </c>
      <c r="AY95" s="12" t="str">
        <f aca="false">IF(AR95=2,AQ95,"")</f>
        <v/>
      </c>
    </row>
    <row r="96" customFormat="false" ht="15" hidden="false" customHeight="true" outlineLevel="0" collapsed="false">
      <c r="A96" s="10" t="n">
        <v>94</v>
      </c>
      <c r="B96" s="10" t="n">
        <v>1</v>
      </c>
      <c r="C96" s="10" t="n">
        <v>3</v>
      </c>
      <c r="D96" s="10" t="n">
        <v>14</v>
      </c>
      <c r="E96" s="10" t="n">
        <v>4</v>
      </c>
      <c r="F96" s="10" t="n">
        <v>2</v>
      </c>
      <c r="G96" s="10" t="n">
        <v>2</v>
      </c>
      <c r="H96" s="10" t="n">
        <v>3</v>
      </c>
      <c r="I96" s="10" t="n">
        <v>3</v>
      </c>
      <c r="J96" s="10" t="n">
        <v>4</v>
      </c>
      <c r="K96" s="10" t="n">
        <v>3</v>
      </c>
      <c r="L96" s="10" t="n">
        <v>4</v>
      </c>
      <c r="M96" s="10" t="n">
        <v>3</v>
      </c>
      <c r="N96" s="10" t="n">
        <v>4</v>
      </c>
      <c r="O96" s="10" t="n">
        <v>5</v>
      </c>
      <c r="P96" s="10" t="n">
        <v>4</v>
      </c>
      <c r="Q96" s="10" t="n">
        <v>4</v>
      </c>
      <c r="R96" s="10" t="n">
        <v>3</v>
      </c>
      <c r="S96" s="10" t="n">
        <v>4</v>
      </c>
      <c r="T96" s="10" t="n">
        <v>3</v>
      </c>
      <c r="U96" s="10" t="n">
        <v>4</v>
      </c>
      <c r="V96" s="10" t="n">
        <v>4</v>
      </c>
      <c r="W96" s="10" t="n">
        <v>2</v>
      </c>
      <c r="X96" s="10" t="n">
        <v>3</v>
      </c>
      <c r="Y96" s="10" t="n">
        <v>1</v>
      </c>
      <c r="Z96" s="10" t="n">
        <v>5</v>
      </c>
      <c r="AA96" s="10" t="n">
        <v>3</v>
      </c>
      <c r="AB96" s="10" t="n">
        <v>4</v>
      </c>
      <c r="AC96" s="10" t="n">
        <v>5</v>
      </c>
      <c r="AD96" s="10" t="n">
        <v>5</v>
      </c>
      <c r="AE96" s="10" t="n">
        <v>5</v>
      </c>
      <c r="AF96" s="10" t="n">
        <v>3</v>
      </c>
      <c r="AG96" s="10" t="n">
        <v>4</v>
      </c>
      <c r="AH96" s="11" t="n">
        <f aca="false">IF(V96="","",6-V96)</f>
        <v>2</v>
      </c>
      <c r="AI96" s="11" t="n">
        <f aca="false">IF(W96="","",6-W96)</f>
        <v>4</v>
      </c>
      <c r="AJ96" s="11" t="n">
        <f aca="false">IF(X96="","",6-X96)</f>
        <v>3</v>
      </c>
      <c r="AK96" s="11" t="n">
        <f aca="false">IF(Y96="","",6-Y96)</f>
        <v>5</v>
      </c>
      <c r="AL96" s="11" t="n">
        <f aca="false">IF(COUNT(H96:O96)=8,SUM(H96:O96),"")</f>
        <v>29</v>
      </c>
      <c r="AM96" s="11" t="n">
        <f aca="false">IF(COUNT(P96:U96,AH96:AK96)=10,SUM(P96:U96,AH96:AK96),"")</f>
        <v>36</v>
      </c>
      <c r="AN96" s="11" t="n">
        <f aca="false">IF(COUNT(Z96:AG96)=8,SUM(Z96:AG96),"")</f>
        <v>34</v>
      </c>
      <c r="AO96" s="12" t="n">
        <f aca="false">IF(AL96="","",AL96/8)</f>
        <v>3.625</v>
      </c>
      <c r="AP96" s="12" t="n">
        <f aca="false">IF(AM96="","",AM96/10)</f>
        <v>3.6</v>
      </c>
      <c r="AQ96" s="12" t="n">
        <f aca="false">IF(AN96="","",AN96/8)</f>
        <v>4.25</v>
      </c>
      <c r="AR96" s="11" t="n">
        <f aca="false">IF(A96="","",IF(OR(F96=1,G96=1,AND(E96&lt;&gt;"",E96&lt;=2)),2,IF(AND(E96&gt;=3,G96=2,OR(F96=2,F96=3)),1,"")))</f>
        <v>1</v>
      </c>
      <c r="AS96" s="11" t="str">
        <f aca="false">IF(AR96=1,"טיפוסי",IF(AR96=2,"מתקשה",""))</f>
        <v>טיפוסי</v>
      </c>
      <c r="AT96" s="12" t="n">
        <f aca="false">IF(AR96=1,AO96,"")</f>
        <v>3.625</v>
      </c>
      <c r="AU96" s="12" t="str">
        <f aca="false">IF(AR96=2,AO96,"")</f>
        <v/>
      </c>
      <c r="AV96" s="12" t="n">
        <f aca="false">IF(AR96=1,AP96,"")</f>
        <v>3.6</v>
      </c>
      <c r="AW96" s="12" t="str">
        <f aca="false">IF(AR96=2,AP96,"")</f>
        <v/>
      </c>
      <c r="AX96" s="12" t="n">
        <f aca="false">IF(AR96=1,AQ96,"")</f>
        <v>4.25</v>
      </c>
      <c r="AY96" s="12" t="str">
        <f aca="false">IF(AR96=2,AQ96,"")</f>
        <v/>
      </c>
    </row>
    <row r="97" customFormat="false" ht="15" hidden="false" customHeight="true" outlineLevel="0" collapsed="false">
      <c r="A97" s="10" t="n">
        <v>95</v>
      </c>
      <c r="B97" s="10" t="n">
        <v>1</v>
      </c>
      <c r="C97" s="10" t="n">
        <v>3</v>
      </c>
      <c r="D97" s="10" t="n">
        <v>14</v>
      </c>
      <c r="E97" s="10" t="n">
        <v>3</v>
      </c>
      <c r="F97" s="10" t="n">
        <v>2</v>
      </c>
      <c r="G97" s="10" t="n">
        <v>2</v>
      </c>
      <c r="H97" s="10" t="n">
        <v>3</v>
      </c>
      <c r="I97" s="10" t="n">
        <v>5</v>
      </c>
      <c r="J97" s="10" t="n">
        <v>2</v>
      </c>
      <c r="K97" s="10" t="n">
        <v>4</v>
      </c>
      <c r="L97" s="10" t="n">
        <v>5</v>
      </c>
      <c r="M97" s="10" t="n">
        <v>5</v>
      </c>
      <c r="N97" s="10" t="n">
        <v>5</v>
      </c>
      <c r="O97" s="10" t="n">
        <v>5</v>
      </c>
      <c r="P97" s="10" t="n">
        <v>3</v>
      </c>
      <c r="Q97" s="10" t="n">
        <v>5</v>
      </c>
      <c r="R97" s="10" t="n">
        <v>3</v>
      </c>
      <c r="S97" s="10" t="n">
        <v>4</v>
      </c>
      <c r="T97" s="10" t="n">
        <v>3</v>
      </c>
      <c r="U97" s="10" t="n">
        <v>3</v>
      </c>
      <c r="V97" s="10" t="n">
        <v>3</v>
      </c>
      <c r="W97" s="10" t="n">
        <v>4</v>
      </c>
      <c r="X97" s="10" t="n">
        <v>4</v>
      </c>
      <c r="Y97" s="10" t="n">
        <v>1</v>
      </c>
      <c r="Z97" s="10" t="n">
        <v>4</v>
      </c>
      <c r="AA97" s="10" t="n">
        <v>4</v>
      </c>
      <c r="AB97" s="10" t="n">
        <v>3</v>
      </c>
      <c r="AC97" s="10" t="n">
        <v>4</v>
      </c>
      <c r="AD97" s="10" t="n">
        <v>5</v>
      </c>
      <c r="AE97" s="10" t="n">
        <v>5</v>
      </c>
      <c r="AF97" s="10" t="n">
        <v>5</v>
      </c>
      <c r="AG97" s="10" t="n">
        <v>2</v>
      </c>
      <c r="AH97" s="11" t="n">
        <f aca="false">IF(V97="","",6-V97)</f>
        <v>3</v>
      </c>
      <c r="AI97" s="11" t="n">
        <f aca="false">IF(W97="","",6-W97)</f>
        <v>2</v>
      </c>
      <c r="AJ97" s="11" t="n">
        <f aca="false">IF(X97="","",6-X97)</f>
        <v>2</v>
      </c>
      <c r="AK97" s="11" t="n">
        <f aca="false">IF(Y97="","",6-Y97)</f>
        <v>5</v>
      </c>
      <c r="AL97" s="11" t="n">
        <f aca="false">IF(COUNT(H97:O97)=8,SUM(H97:O97),"")</f>
        <v>34</v>
      </c>
      <c r="AM97" s="11" t="n">
        <f aca="false">IF(COUNT(P97:U97,AH97:AK97)=10,SUM(P97:U97,AH97:AK97),"")</f>
        <v>33</v>
      </c>
      <c r="AN97" s="11" t="n">
        <f aca="false">IF(COUNT(Z97:AG97)=8,SUM(Z97:AG97),"")</f>
        <v>32</v>
      </c>
      <c r="AO97" s="12" t="n">
        <f aca="false">IF(AL97="","",AL97/8)</f>
        <v>4.25</v>
      </c>
      <c r="AP97" s="12" t="n">
        <f aca="false">IF(AM97="","",AM97/10)</f>
        <v>3.3</v>
      </c>
      <c r="AQ97" s="12" t="n">
        <f aca="false">IF(AN97="","",AN97/8)</f>
        <v>4</v>
      </c>
      <c r="AR97" s="11" t="n">
        <f aca="false">IF(A97="","",IF(OR(F97=1,G97=1,AND(E97&lt;&gt;"",E97&lt;=2)),2,IF(AND(E97&gt;=3,G97=2,OR(F97=2,F97=3)),1,"")))</f>
        <v>1</v>
      </c>
      <c r="AS97" s="11" t="str">
        <f aca="false">IF(AR97=1,"טיפוסי",IF(AR97=2,"מתקשה",""))</f>
        <v>טיפוסי</v>
      </c>
      <c r="AT97" s="12" t="n">
        <f aca="false">IF(AR97=1,AO97,"")</f>
        <v>4.25</v>
      </c>
      <c r="AU97" s="12" t="str">
        <f aca="false">IF(AR97=2,AO97,"")</f>
        <v/>
      </c>
      <c r="AV97" s="12" t="n">
        <f aca="false">IF(AR97=1,AP97,"")</f>
        <v>3.3</v>
      </c>
      <c r="AW97" s="12" t="str">
        <f aca="false">IF(AR97=2,AP97,"")</f>
        <v/>
      </c>
      <c r="AX97" s="12" t="n">
        <f aca="false">IF(AR97=1,AQ97,"")</f>
        <v>4</v>
      </c>
      <c r="AY97" s="12" t="str">
        <f aca="false">IF(AR97=2,AQ97,"")</f>
        <v/>
      </c>
    </row>
    <row r="98" customFormat="false" ht="15" hidden="false" customHeight="true" outlineLevel="0" collapsed="false">
      <c r="A98" s="10" t="n">
        <v>96</v>
      </c>
      <c r="B98" s="10" t="n">
        <v>1</v>
      </c>
      <c r="C98" s="10" t="n">
        <v>1</v>
      </c>
      <c r="D98" s="10" t="n">
        <v>13</v>
      </c>
      <c r="E98" s="10" t="n">
        <v>4</v>
      </c>
      <c r="F98" s="10" t="n">
        <v>2</v>
      </c>
      <c r="G98" s="10" t="n">
        <v>2</v>
      </c>
      <c r="H98" s="10" t="n">
        <v>4</v>
      </c>
      <c r="I98" s="10" t="n">
        <v>3</v>
      </c>
      <c r="J98" s="10" t="n">
        <v>3</v>
      </c>
      <c r="K98" s="10" t="n">
        <v>3</v>
      </c>
      <c r="L98" s="10" t="n">
        <v>3</v>
      </c>
      <c r="M98" s="10" t="n">
        <v>4</v>
      </c>
      <c r="N98" s="10" t="n">
        <v>3</v>
      </c>
      <c r="O98" s="10" t="n">
        <v>3</v>
      </c>
      <c r="P98" s="10" t="n">
        <v>3</v>
      </c>
      <c r="Q98" s="10" t="n">
        <v>3</v>
      </c>
      <c r="R98" s="10" t="n">
        <v>3</v>
      </c>
      <c r="S98" s="10" t="n">
        <v>2</v>
      </c>
      <c r="T98" s="10" t="n">
        <v>4</v>
      </c>
      <c r="U98" s="10" t="n">
        <v>3</v>
      </c>
      <c r="V98" s="10" t="n">
        <v>3</v>
      </c>
      <c r="W98" s="10" t="n">
        <v>2</v>
      </c>
      <c r="X98" s="10" t="n">
        <v>2</v>
      </c>
      <c r="Y98" s="10" t="n">
        <v>4</v>
      </c>
      <c r="Z98" s="10" t="n">
        <v>3</v>
      </c>
      <c r="AA98" s="10" t="n">
        <v>3</v>
      </c>
      <c r="AB98" s="10" t="n">
        <v>3</v>
      </c>
      <c r="AC98" s="10" t="n">
        <v>4</v>
      </c>
      <c r="AD98" s="10" t="n">
        <v>3</v>
      </c>
      <c r="AE98" s="10" t="n">
        <v>2</v>
      </c>
      <c r="AF98" s="10" t="n">
        <v>2</v>
      </c>
      <c r="AG98" s="10" t="n">
        <v>3</v>
      </c>
      <c r="AH98" s="11" t="n">
        <f aca="false">IF(V98="","",6-V98)</f>
        <v>3</v>
      </c>
      <c r="AI98" s="11" t="n">
        <f aca="false">IF(W98="","",6-W98)</f>
        <v>4</v>
      </c>
      <c r="AJ98" s="11" t="n">
        <f aca="false">IF(X98="","",6-X98)</f>
        <v>4</v>
      </c>
      <c r="AK98" s="11" t="n">
        <f aca="false">IF(Y98="","",6-Y98)</f>
        <v>2</v>
      </c>
      <c r="AL98" s="11" t="n">
        <f aca="false">IF(COUNT(H98:O98)=8,SUM(H98:O98),"")</f>
        <v>26</v>
      </c>
      <c r="AM98" s="11" t="n">
        <f aca="false">IF(COUNT(P98:U98,AH98:AK98)=10,SUM(P98:U98,AH98:AK98),"")</f>
        <v>31</v>
      </c>
      <c r="AN98" s="11" t="n">
        <f aca="false">IF(COUNT(Z98:AG98)=8,SUM(Z98:AG98),"")</f>
        <v>23</v>
      </c>
      <c r="AO98" s="12" t="n">
        <f aca="false">IF(AL98="","",AL98/8)</f>
        <v>3.25</v>
      </c>
      <c r="AP98" s="12" t="n">
        <f aca="false">IF(AM98="","",AM98/10)</f>
        <v>3.1</v>
      </c>
      <c r="AQ98" s="12" t="n">
        <f aca="false">IF(AN98="","",AN98/8)</f>
        <v>2.875</v>
      </c>
      <c r="AR98" s="11" t="n">
        <f aca="false">IF(A98="","",IF(OR(F98=1,G98=1,AND(E98&lt;&gt;"",E98&lt;=2)),2,IF(AND(E98&gt;=3,G98=2,OR(F98=2,F98=3)),1,"")))</f>
        <v>1</v>
      </c>
      <c r="AS98" s="11" t="str">
        <f aca="false">IF(AR98=1,"טיפוסי",IF(AR98=2,"מתקשה",""))</f>
        <v>טיפוסי</v>
      </c>
      <c r="AT98" s="12" t="n">
        <f aca="false">IF(AR98=1,AO98,"")</f>
        <v>3.25</v>
      </c>
      <c r="AU98" s="12" t="str">
        <f aca="false">IF(AR98=2,AO98,"")</f>
        <v/>
      </c>
      <c r="AV98" s="12" t="n">
        <f aca="false">IF(AR98=1,AP98,"")</f>
        <v>3.1</v>
      </c>
      <c r="AW98" s="12" t="str">
        <f aca="false">IF(AR98=2,AP98,"")</f>
        <v/>
      </c>
      <c r="AX98" s="12" t="n">
        <f aca="false">IF(AR98=1,AQ98,"")</f>
        <v>2.875</v>
      </c>
      <c r="AY98" s="12" t="str">
        <f aca="false">IF(AR98=2,AQ98,"")</f>
        <v/>
      </c>
    </row>
    <row r="99" customFormat="false" ht="15" hidden="false" customHeight="true" outlineLevel="0" collapsed="false">
      <c r="A99" s="10" t="n">
        <v>97</v>
      </c>
      <c r="B99" s="10" t="n">
        <v>2</v>
      </c>
      <c r="C99" s="10" t="n">
        <v>3</v>
      </c>
      <c r="D99" s="10" t="n">
        <v>15</v>
      </c>
      <c r="E99" s="10" t="n">
        <v>4</v>
      </c>
      <c r="F99" s="10" t="n">
        <v>3</v>
      </c>
      <c r="G99" s="10" t="n">
        <v>2</v>
      </c>
      <c r="H99" s="10" t="n">
        <v>4</v>
      </c>
      <c r="I99" s="10" t="n">
        <v>4</v>
      </c>
      <c r="J99" s="10" t="n">
        <v>2</v>
      </c>
      <c r="K99" s="10" t="n">
        <v>4</v>
      </c>
      <c r="L99" s="10" t="n">
        <v>4</v>
      </c>
      <c r="M99" s="10" t="n">
        <v>3</v>
      </c>
      <c r="N99" s="10" t="n">
        <v>4</v>
      </c>
      <c r="O99" s="10" t="n">
        <v>4</v>
      </c>
      <c r="P99" s="10" t="n">
        <v>3</v>
      </c>
      <c r="Q99" s="10" t="n">
        <v>4</v>
      </c>
      <c r="R99" s="10" t="n">
        <v>3</v>
      </c>
      <c r="S99" s="10" t="n">
        <v>4</v>
      </c>
      <c r="T99" s="10" t="n">
        <v>2</v>
      </c>
      <c r="U99" s="10" t="n">
        <v>4</v>
      </c>
      <c r="V99" s="10" t="n">
        <v>4</v>
      </c>
      <c r="W99" s="10" t="n">
        <v>3</v>
      </c>
      <c r="X99" s="10" t="n">
        <v>4</v>
      </c>
      <c r="Y99" s="10" t="n">
        <v>2</v>
      </c>
      <c r="Z99" s="10" t="n">
        <v>2</v>
      </c>
      <c r="AA99" s="10" t="n">
        <v>3</v>
      </c>
      <c r="AB99" s="10" t="n">
        <v>3</v>
      </c>
      <c r="AC99" s="10" t="n">
        <v>4</v>
      </c>
      <c r="AD99" s="10" t="n">
        <v>3</v>
      </c>
      <c r="AE99" s="10" t="n">
        <v>3</v>
      </c>
      <c r="AF99" s="10" t="n">
        <v>4</v>
      </c>
      <c r="AG99" s="10" t="n">
        <v>3</v>
      </c>
      <c r="AH99" s="11" t="n">
        <f aca="false">IF(V99="","",6-V99)</f>
        <v>2</v>
      </c>
      <c r="AI99" s="11" t="n">
        <f aca="false">IF(W99="","",6-W99)</f>
        <v>3</v>
      </c>
      <c r="AJ99" s="11" t="n">
        <f aca="false">IF(X99="","",6-X99)</f>
        <v>2</v>
      </c>
      <c r="AK99" s="11" t="n">
        <f aca="false">IF(Y99="","",6-Y99)</f>
        <v>4</v>
      </c>
      <c r="AL99" s="11" t="n">
        <f aca="false">IF(COUNT(H99:O99)=8,SUM(H99:O99),"")</f>
        <v>29</v>
      </c>
      <c r="AM99" s="11" t="n">
        <f aca="false">IF(COUNT(P99:U99,AH99:AK99)=10,SUM(P99:U99,AH99:AK99),"")</f>
        <v>31</v>
      </c>
      <c r="AN99" s="11" t="n">
        <f aca="false">IF(COUNT(Z99:AG99)=8,SUM(Z99:AG99),"")</f>
        <v>25</v>
      </c>
      <c r="AO99" s="12" t="n">
        <f aca="false">IF(AL99="","",AL99/8)</f>
        <v>3.625</v>
      </c>
      <c r="AP99" s="12" t="n">
        <f aca="false">IF(AM99="","",AM99/10)</f>
        <v>3.1</v>
      </c>
      <c r="AQ99" s="12" t="n">
        <f aca="false">IF(AN99="","",AN99/8)</f>
        <v>3.125</v>
      </c>
      <c r="AR99" s="11" t="n">
        <f aca="false">IF(A99="","",IF(OR(F99=1,G99=1,AND(E99&lt;&gt;"",E99&lt;=2)),2,IF(AND(E99&gt;=3,G99=2,OR(F99=2,F99=3)),1,"")))</f>
        <v>1</v>
      </c>
      <c r="AS99" s="11" t="str">
        <f aca="false">IF(AR99=1,"טיפוסי",IF(AR99=2,"מתקשה",""))</f>
        <v>טיפוסי</v>
      </c>
      <c r="AT99" s="12" t="n">
        <f aca="false">IF(AR99=1,AO99,"")</f>
        <v>3.625</v>
      </c>
      <c r="AU99" s="12" t="str">
        <f aca="false">IF(AR99=2,AO99,"")</f>
        <v/>
      </c>
      <c r="AV99" s="12" t="n">
        <f aca="false">IF(AR99=1,AP99,"")</f>
        <v>3.1</v>
      </c>
      <c r="AW99" s="12" t="str">
        <f aca="false">IF(AR99=2,AP99,"")</f>
        <v/>
      </c>
      <c r="AX99" s="12" t="n">
        <f aca="false">IF(AR99=1,AQ99,"")</f>
        <v>3.125</v>
      </c>
      <c r="AY99" s="12" t="str">
        <f aca="false">IF(AR99=2,AQ99,"")</f>
        <v/>
      </c>
    </row>
    <row r="100" customFormat="false" ht="15" hidden="false" customHeight="true" outlineLevel="0" collapsed="false">
      <c r="A100" s="10" t="n">
        <v>98</v>
      </c>
      <c r="B100" s="10" t="n">
        <v>2</v>
      </c>
      <c r="C100" s="10" t="n">
        <v>1</v>
      </c>
      <c r="D100" s="10" t="n">
        <v>13</v>
      </c>
      <c r="E100" s="10" t="n">
        <v>4</v>
      </c>
      <c r="F100" s="10" t="n">
        <v>3</v>
      </c>
      <c r="G100" s="10" t="n">
        <v>1</v>
      </c>
      <c r="H100" s="10" t="n">
        <v>4</v>
      </c>
      <c r="I100" s="10" t="n">
        <v>5</v>
      </c>
      <c r="J100" s="10" t="n">
        <v>4</v>
      </c>
      <c r="K100" s="10" t="n">
        <v>5</v>
      </c>
      <c r="L100" s="10" t="n">
        <v>4</v>
      </c>
      <c r="M100" s="10" t="n">
        <v>3</v>
      </c>
      <c r="N100" s="10" t="n">
        <v>4</v>
      </c>
      <c r="O100" s="10" t="n">
        <v>3</v>
      </c>
      <c r="P100" s="10" t="n">
        <v>2</v>
      </c>
      <c r="Q100" s="10" t="n">
        <v>4</v>
      </c>
      <c r="R100" s="10" t="n">
        <v>3</v>
      </c>
      <c r="S100" s="10" t="n">
        <v>3</v>
      </c>
      <c r="T100" s="10" t="n">
        <v>5</v>
      </c>
      <c r="U100" s="10" t="n">
        <v>4</v>
      </c>
      <c r="V100" s="10" t="n">
        <v>4</v>
      </c>
      <c r="W100" s="10" t="n">
        <v>1</v>
      </c>
      <c r="X100" s="10" t="n">
        <v>3</v>
      </c>
      <c r="Y100" s="10" t="n">
        <v>2</v>
      </c>
      <c r="Z100" s="10" t="n">
        <v>3</v>
      </c>
      <c r="AA100" s="10" t="n">
        <v>4</v>
      </c>
      <c r="AB100" s="10" t="n">
        <v>3</v>
      </c>
      <c r="AC100" s="10" t="n">
        <v>5</v>
      </c>
      <c r="AD100" s="10" t="n">
        <v>3</v>
      </c>
      <c r="AE100" s="10" t="n">
        <v>5</v>
      </c>
      <c r="AF100" s="10" t="n">
        <v>3</v>
      </c>
      <c r="AG100" s="10" t="n">
        <v>4</v>
      </c>
      <c r="AH100" s="11" t="n">
        <f aca="false">IF(V100="","",6-V100)</f>
        <v>2</v>
      </c>
      <c r="AI100" s="11" t="n">
        <f aca="false">IF(W100="","",6-W100)</f>
        <v>5</v>
      </c>
      <c r="AJ100" s="11" t="n">
        <f aca="false">IF(X100="","",6-X100)</f>
        <v>3</v>
      </c>
      <c r="AK100" s="11" t="n">
        <f aca="false">IF(Y100="","",6-Y100)</f>
        <v>4</v>
      </c>
      <c r="AL100" s="11" t="n">
        <f aca="false">IF(COUNT(H100:O100)=8,SUM(H100:O100),"")</f>
        <v>32</v>
      </c>
      <c r="AM100" s="11" t="n">
        <f aca="false">IF(COUNT(P100:U100,AH100:AK100)=10,SUM(P100:U100,AH100:AK100),"")</f>
        <v>35</v>
      </c>
      <c r="AN100" s="11" t="n">
        <f aca="false">IF(COUNT(Z100:AG100)=8,SUM(Z100:AG100),"")</f>
        <v>30</v>
      </c>
      <c r="AO100" s="12" t="n">
        <f aca="false">IF(AL100="","",AL100/8)</f>
        <v>4</v>
      </c>
      <c r="AP100" s="12" t="n">
        <f aca="false">IF(AM100="","",AM100/10)</f>
        <v>3.5</v>
      </c>
      <c r="AQ100" s="12" t="n">
        <f aca="false">IF(AN100="","",AN100/8)</f>
        <v>3.75</v>
      </c>
      <c r="AR100" s="11" t="n">
        <f aca="false">IF(A100="","",IF(OR(F100=1,G100=1,AND(E100&lt;&gt;"",E100&lt;=2)),2,IF(AND(E100&gt;=3,G100=2,OR(F100=2,F100=3)),1,"")))</f>
        <v>2</v>
      </c>
      <c r="AS100" s="11" t="str">
        <f aca="false">IF(AR100=1,"טיפוסי",IF(AR100=2,"מתקשה",""))</f>
        <v>מתקשה</v>
      </c>
      <c r="AT100" s="12" t="str">
        <f aca="false">IF(AR100=1,AO100,"")</f>
        <v/>
      </c>
      <c r="AU100" s="12" t="n">
        <f aca="false">IF(AR100=2,AO100,"")</f>
        <v>4</v>
      </c>
      <c r="AV100" s="12" t="str">
        <f aca="false">IF(AR100=1,AP100,"")</f>
        <v/>
      </c>
      <c r="AW100" s="12" t="n">
        <f aca="false">IF(AR100=2,AP100,"")</f>
        <v>3.5</v>
      </c>
      <c r="AX100" s="12" t="str">
        <f aca="false">IF(AR100=1,AQ100,"")</f>
        <v/>
      </c>
      <c r="AY100" s="12" t="n">
        <f aca="false">IF(AR100=2,AQ100,"")</f>
        <v>3.75</v>
      </c>
    </row>
    <row r="101" customFormat="false" ht="15" hidden="false" customHeight="true" outlineLevel="0" collapsed="false">
      <c r="A101" s="10" t="n">
        <v>99</v>
      </c>
      <c r="B101" s="10" t="n">
        <v>1</v>
      </c>
      <c r="C101" s="10" t="n">
        <v>3</v>
      </c>
      <c r="D101" s="10" t="n">
        <v>15</v>
      </c>
      <c r="E101" s="10" t="n">
        <v>2</v>
      </c>
      <c r="F101" s="10" t="n">
        <v>2</v>
      </c>
      <c r="G101" s="10" t="n">
        <v>2</v>
      </c>
      <c r="H101" s="10" t="n">
        <v>4</v>
      </c>
      <c r="I101" s="10" t="n">
        <v>3</v>
      </c>
      <c r="J101" s="10" t="n">
        <v>3</v>
      </c>
      <c r="K101" s="10" t="n">
        <v>4</v>
      </c>
      <c r="L101" s="10" t="n">
        <v>5</v>
      </c>
      <c r="M101" s="10" t="n">
        <v>4</v>
      </c>
      <c r="N101" s="10" t="n">
        <v>5</v>
      </c>
      <c r="O101" s="10" t="n">
        <v>5</v>
      </c>
      <c r="P101" s="10" t="n">
        <v>1</v>
      </c>
      <c r="Q101" s="10" t="n">
        <v>1</v>
      </c>
      <c r="R101" s="10" t="n">
        <v>3</v>
      </c>
      <c r="S101" s="10" t="n">
        <v>4</v>
      </c>
      <c r="T101" s="10" t="n">
        <v>3</v>
      </c>
      <c r="U101" s="10" t="n">
        <v>3</v>
      </c>
      <c r="V101" s="10" t="n">
        <v>4</v>
      </c>
      <c r="W101" s="10" t="n">
        <v>5</v>
      </c>
      <c r="X101" s="10" t="n">
        <v>3</v>
      </c>
      <c r="Y101" s="10" t="n">
        <v>5</v>
      </c>
      <c r="Z101" s="10" t="n">
        <v>4</v>
      </c>
      <c r="AA101" s="10" t="n">
        <v>3</v>
      </c>
      <c r="AB101" s="10" t="n">
        <v>3</v>
      </c>
      <c r="AC101" s="10" t="n">
        <v>5</v>
      </c>
      <c r="AD101" s="10" t="n">
        <v>4</v>
      </c>
      <c r="AE101" s="10" t="n">
        <v>3</v>
      </c>
      <c r="AF101" s="10" t="n">
        <v>2</v>
      </c>
      <c r="AG101" s="10" t="n">
        <v>2</v>
      </c>
      <c r="AH101" s="11" t="n">
        <f aca="false">IF(V101="","",6-V101)</f>
        <v>2</v>
      </c>
      <c r="AI101" s="11" t="n">
        <f aca="false">IF(W101="","",6-W101)</f>
        <v>1</v>
      </c>
      <c r="AJ101" s="11" t="n">
        <f aca="false">IF(X101="","",6-X101)</f>
        <v>3</v>
      </c>
      <c r="AK101" s="11" t="n">
        <f aca="false">IF(Y101="","",6-Y101)</f>
        <v>1</v>
      </c>
      <c r="AL101" s="11" t="n">
        <f aca="false">IF(COUNT(H101:O101)=8,SUM(H101:O101),"")</f>
        <v>33</v>
      </c>
      <c r="AM101" s="11" t="n">
        <f aca="false">IF(COUNT(P101:U101,AH101:AK101)=10,SUM(P101:U101,AH101:AK101),"")</f>
        <v>22</v>
      </c>
      <c r="AN101" s="11" t="n">
        <f aca="false">IF(COUNT(Z101:AG101)=8,SUM(Z101:AG101),"")</f>
        <v>26</v>
      </c>
      <c r="AO101" s="12" t="n">
        <f aca="false">IF(AL101="","",AL101/8)</f>
        <v>4.125</v>
      </c>
      <c r="AP101" s="12" t="n">
        <f aca="false">IF(AM101="","",AM101/10)</f>
        <v>2.2</v>
      </c>
      <c r="AQ101" s="12" t="n">
        <f aca="false">IF(AN101="","",AN101/8)</f>
        <v>3.25</v>
      </c>
      <c r="AR101" s="11" t="n">
        <f aca="false">IF(A101="","",IF(OR(F101=1,G101=1,AND(E101&lt;&gt;"",E101&lt;=2)),2,IF(AND(E101&gt;=3,G101=2,OR(F101=2,F101=3)),1,"")))</f>
        <v>2</v>
      </c>
      <c r="AS101" s="11" t="str">
        <f aca="false">IF(AR101=1,"טיפוסי",IF(AR101=2,"מתקשה",""))</f>
        <v>מתקשה</v>
      </c>
      <c r="AT101" s="12" t="str">
        <f aca="false">IF(AR101=1,AO101,"")</f>
        <v/>
      </c>
      <c r="AU101" s="12" t="n">
        <f aca="false">IF(AR101=2,AO101,"")</f>
        <v>4.125</v>
      </c>
      <c r="AV101" s="12" t="str">
        <f aca="false">IF(AR101=1,AP101,"")</f>
        <v/>
      </c>
      <c r="AW101" s="12" t="n">
        <f aca="false">IF(AR101=2,AP101,"")</f>
        <v>2.2</v>
      </c>
      <c r="AX101" s="12" t="str">
        <f aca="false">IF(AR101=1,AQ101,"")</f>
        <v/>
      </c>
      <c r="AY101" s="12" t="n">
        <f aca="false">IF(AR101=2,AQ101,"")</f>
        <v>3.25</v>
      </c>
    </row>
    <row r="102" customFormat="false" ht="15" hidden="false" customHeight="true" outlineLevel="0" collapsed="false">
      <c r="A102" s="10" t="n">
        <v>100</v>
      </c>
      <c r="B102" s="10" t="n">
        <v>1</v>
      </c>
      <c r="C102" s="10" t="n">
        <v>1</v>
      </c>
      <c r="D102" s="10" t="n">
        <v>12</v>
      </c>
      <c r="E102" s="10" t="n">
        <v>4</v>
      </c>
      <c r="F102" s="10" t="n">
        <v>2</v>
      </c>
      <c r="G102" s="10" t="n">
        <v>1</v>
      </c>
      <c r="H102" s="10" t="n">
        <v>4</v>
      </c>
      <c r="I102" s="10" t="n">
        <v>4</v>
      </c>
      <c r="J102" s="10" t="n">
        <v>3</v>
      </c>
      <c r="K102" s="10" t="n">
        <v>3</v>
      </c>
      <c r="L102" s="10" t="n">
        <v>4</v>
      </c>
      <c r="M102" s="10" t="n">
        <v>3</v>
      </c>
      <c r="N102" s="10" t="n">
        <v>3</v>
      </c>
      <c r="O102" s="10" t="n">
        <v>5</v>
      </c>
      <c r="P102" s="10" t="n">
        <v>3</v>
      </c>
      <c r="Q102" s="10" t="n">
        <v>3</v>
      </c>
      <c r="R102" s="10" t="n">
        <v>3</v>
      </c>
      <c r="S102" s="10" t="n">
        <v>2</v>
      </c>
      <c r="T102" s="10" t="n">
        <v>4</v>
      </c>
      <c r="U102" s="10" t="n">
        <v>4</v>
      </c>
      <c r="V102" s="10" t="n">
        <v>3</v>
      </c>
      <c r="W102" s="10" t="n">
        <v>2</v>
      </c>
      <c r="X102" s="10" t="n">
        <v>2</v>
      </c>
      <c r="Y102" s="10" t="n">
        <v>3</v>
      </c>
      <c r="Z102" s="10" t="n">
        <v>5</v>
      </c>
      <c r="AA102" s="10" t="n">
        <v>2</v>
      </c>
      <c r="AB102" s="10" t="n">
        <v>3</v>
      </c>
      <c r="AC102" s="10" t="n">
        <v>3</v>
      </c>
      <c r="AD102" s="10" t="n">
        <v>2</v>
      </c>
      <c r="AE102" s="10" t="n">
        <v>4</v>
      </c>
      <c r="AF102" s="10" t="n">
        <v>5</v>
      </c>
      <c r="AG102" s="10" t="n">
        <v>3</v>
      </c>
      <c r="AH102" s="11" t="n">
        <f aca="false">IF(V102="","",6-V102)</f>
        <v>3</v>
      </c>
      <c r="AI102" s="11" t="n">
        <f aca="false">IF(W102="","",6-W102)</f>
        <v>4</v>
      </c>
      <c r="AJ102" s="11" t="n">
        <f aca="false">IF(X102="","",6-X102)</f>
        <v>4</v>
      </c>
      <c r="AK102" s="11" t="n">
        <f aca="false">IF(Y102="","",6-Y102)</f>
        <v>3</v>
      </c>
      <c r="AL102" s="11" t="n">
        <f aca="false">IF(COUNT(H102:O102)=8,SUM(H102:O102),"")</f>
        <v>29</v>
      </c>
      <c r="AM102" s="11" t="n">
        <f aca="false">IF(COUNT(P102:U102,AH102:AK102)=10,SUM(P102:U102,AH102:AK102),"")</f>
        <v>33</v>
      </c>
      <c r="AN102" s="11" t="n">
        <f aca="false">IF(COUNT(Z102:AG102)=8,SUM(Z102:AG102),"")</f>
        <v>27</v>
      </c>
      <c r="AO102" s="12" t="n">
        <f aca="false">IF(AL102="","",AL102/8)</f>
        <v>3.625</v>
      </c>
      <c r="AP102" s="12" t="n">
        <f aca="false">IF(AM102="","",AM102/10)</f>
        <v>3.3</v>
      </c>
      <c r="AQ102" s="12" t="n">
        <f aca="false">IF(AN102="","",AN102/8)</f>
        <v>3.375</v>
      </c>
      <c r="AR102" s="11" t="n">
        <f aca="false">IF(A102="","",IF(OR(F102=1,G102=1,AND(E102&lt;&gt;"",E102&lt;=2)),2,IF(AND(E102&gt;=3,G102=2,OR(F102=2,F102=3)),1,"")))</f>
        <v>2</v>
      </c>
      <c r="AS102" s="11" t="str">
        <f aca="false">IF(AR102=1,"טיפוסי",IF(AR102=2,"מתקשה",""))</f>
        <v>מתקשה</v>
      </c>
      <c r="AT102" s="12" t="str">
        <f aca="false">IF(AR102=1,AO102,"")</f>
        <v/>
      </c>
      <c r="AU102" s="12" t="n">
        <f aca="false">IF(AR102=2,AO102,"")</f>
        <v>3.625</v>
      </c>
      <c r="AV102" s="12" t="str">
        <f aca="false">IF(AR102=1,AP102,"")</f>
        <v/>
      </c>
      <c r="AW102" s="12" t="n">
        <f aca="false">IF(AR102=2,AP102,"")</f>
        <v>3.3</v>
      </c>
      <c r="AX102" s="12" t="str">
        <f aca="false">IF(AR102=1,AQ102,"")</f>
        <v/>
      </c>
      <c r="AY102" s="12" t="n">
        <f aca="false">IF(AR102=2,AQ102,"")</f>
        <v>3.375</v>
      </c>
    </row>
    <row r="103" customFormat="false" ht="15" hidden="false" customHeight="true" outlineLevel="0" collapsed="false">
      <c r="A103" s="10" t="n">
        <v>101</v>
      </c>
      <c r="B103" s="10" t="n">
        <v>2</v>
      </c>
      <c r="C103" s="10" t="n">
        <v>2</v>
      </c>
      <c r="D103" s="10" t="n">
        <v>14</v>
      </c>
      <c r="E103" s="10" t="n">
        <v>4</v>
      </c>
      <c r="F103" s="10" t="n">
        <v>2</v>
      </c>
      <c r="G103" s="10" t="n">
        <v>2</v>
      </c>
      <c r="H103" s="10" t="n">
        <v>3</v>
      </c>
      <c r="I103" s="10" t="n">
        <v>4</v>
      </c>
      <c r="J103" s="10" t="n">
        <v>5</v>
      </c>
      <c r="K103" s="10" t="n">
        <v>5</v>
      </c>
      <c r="L103" s="10" t="n">
        <v>3</v>
      </c>
      <c r="M103" s="10" t="n">
        <v>4</v>
      </c>
      <c r="N103" s="10" t="n">
        <v>4</v>
      </c>
      <c r="O103" s="10" t="n">
        <v>3</v>
      </c>
      <c r="P103" s="10" t="n">
        <v>4</v>
      </c>
      <c r="Q103" s="10" t="n">
        <v>4</v>
      </c>
      <c r="R103" s="10" t="n">
        <v>3</v>
      </c>
      <c r="S103" s="10" t="n">
        <v>4</v>
      </c>
      <c r="T103" s="10" t="n">
        <v>2</v>
      </c>
      <c r="U103" s="10" t="n">
        <v>3</v>
      </c>
      <c r="V103" s="10" t="n">
        <v>3</v>
      </c>
      <c r="W103" s="10" t="n">
        <v>4</v>
      </c>
      <c r="X103" s="10" t="n">
        <v>4</v>
      </c>
      <c r="Y103" s="10" t="n">
        <v>3</v>
      </c>
      <c r="Z103" s="10" t="n">
        <v>4</v>
      </c>
      <c r="AA103" s="10" t="n">
        <v>5</v>
      </c>
      <c r="AB103" s="10" t="n">
        <v>4</v>
      </c>
      <c r="AC103" s="10" t="n">
        <v>4</v>
      </c>
      <c r="AD103" s="10" t="n">
        <v>5</v>
      </c>
      <c r="AE103" s="10" t="n">
        <v>5</v>
      </c>
      <c r="AF103" s="10" t="n">
        <v>3</v>
      </c>
      <c r="AG103" s="10" t="n">
        <v>4</v>
      </c>
      <c r="AH103" s="11" t="n">
        <f aca="false">IF(V103="","",6-V103)</f>
        <v>3</v>
      </c>
      <c r="AI103" s="11" t="n">
        <f aca="false">IF(W103="","",6-W103)</f>
        <v>2</v>
      </c>
      <c r="AJ103" s="11" t="n">
        <f aca="false">IF(X103="","",6-X103)</f>
        <v>2</v>
      </c>
      <c r="AK103" s="11" t="n">
        <f aca="false">IF(Y103="","",6-Y103)</f>
        <v>3</v>
      </c>
      <c r="AL103" s="11" t="n">
        <f aca="false">IF(COUNT(H103:O103)=8,SUM(H103:O103),"")</f>
        <v>31</v>
      </c>
      <c r="AM103" s="11" t="n">
        <f aca="false">IF(COUNT(P103:U103,AH103:AK103)=10,SUM(P103:U103,AH103:AK103),"")</f>
        <v>30</v>
      </c>
      <c r="AN103" s="11" t="n">
        <f aca="false">IF(COUNT(Z103:AG103)=8,SUM(Z103:AG103),"")</f>
        <v>34</v>
      </c>
      <c r="AO103" s="12" t="n">
        <f aca="false">IF(AL103="","",AL103/8)</f>
        <v>3.875</v>
      </c>
      <c r="AP103" s="12" t="n">
        <f aca="false">IF(AM103="","",AM103/10)</f>
        <v>3</v>
      </c>
      <c r="AQ103" s="12" t="n">
        <f aca="false">IF(AN103="","",AN103/8)</f>
        <v>4.25</v>
      </c>
      <c r="AR103" s="11" t="n">
        <f aca="false">IF(A103="","",IF(OR(F103=1,G103=1,AND(E103&lt;&gt;"",E103&lt;=2)),2,IF(AND(E103&gt;=3,G103=2,OR(F103=2,F103=3)),1,"")))</f>
        <v>1</v>
      </c>
      <c r="AS103" s="11" t="str">
        <f aca="false">IF(AR103=1,"טיפוסי",IF(AR103=2,"מתקשה",""))</f>
        <v>טיפוסי</v>
      </c>
      <c r="AT103" s="12" t="n">
        <f aca="false">IF(AR103=1,AO103,"")</f>
        <v>3.875</v>
      </c>
      <c r="AU103" s="12" t="str">
        <f aca="false">IF(AR103=2,AO103,"")</f>
        <v/>
      </c>
      <c r="AV103" s="12" t="n">
        <f aca="false">IF(AR103=1,AP103,"")</f>
        <v>3</v>
      </c>
      <c r="AW103" s="12" t="str">
        <f aca="false">IF(AR103=2,AP103,"")</f>
        <v/>
      </c>
      <c r="AX103" s="12" t="n">
        <f aca="false">IF(AR103=1,AQ103,"")</f>
        <v>4.25</v>
      </c>
      <c r="AY103" s="12" t="str">
        <f aca="false">IF(AR103=2,AQ103,"")</f>
        <v/>
      </c>
    </row>
    <row r="104" customFormat="false" ht="15" hidden="false" customHeight="true" outlineLevel="0" collapsed="false">
      <c r="A104" s="10" t="n">
        <v>102</v>
      </c>
      <c r="B104" s="10" t="n">
        <v>1</v>
      </c>
      <c r="C104" s="10" t="n">
        <v>1</v>
      </c>
      <c r="D104" s="10" t="n">
        <v>13</v>
      </c>
      <c r="E104" s="10" t="n">
        <v>2</v>
      </c>
      <c r="F104" s="10" t="n">
        <v>3</v>
      </c>
      <c r="G104" s="10" t="n">
        <v>2</v>
      </c>
      <c r="H104" s="10" t="n">
        <v>3</v>
      </c>
      <c r="I104" s="10" t="n">
        <v>2</v>
      </c>
      <c r="J104" s="10" t="n">
        <v>1</v>
      </c>
      <c r="K104" s="10" t="n">
        <v>2</v>
      </c>
      <c r="L104" s="10" t="n">
        <v>1</v>
      </c>
      <c r="M104" s="10" t="n">
        <v>1</v>
      </c>
      <c r="N104" s="10" t="n">
        <v>3</v>
      </c>
      <c r="O104" s="10" t="n">
        <v>2</v>
      </c>
      <c r="P104" s="10" t="n">
        <v>2</v>
      </c>
      <c r="Q104" s="10" t="n">
        <v>1</v>
      </c>
      <c r="R104" s="10" t="n">
        <v>1</v>
      </c>
      <c r="S104" s="10" t="n">
        <v>1</v>
      </c>
      <c r="T104" s="10" t="n">
        <v>3</v>
      </c>
      <c r="U104" s="10" t="n">
        <v>2</v>
      </c>
      <c r="V104" s="10" t="n">
        <v>3</v>
      </c>
      <c r="W104" s="10" t="n">
        <v>5</v>
      </c>
      <c r="X104" s="10" t="n">
        <v>5</v>
      </c>
      <c r="Y104" s="10" t="n">
        <v>5</v>
      </c>
      <c r="Z104" s="10" t="n">
        <v>2</v>
      </c>
      <c r="AA104" s="10" t="n">
        <v>2</v>
      </c>
      <c r="AB104" s="10" t="n">
        <v>4</v>
      </c>
      <c r="AC104" s="10" t="n">
        <v>3</v>
      </c>
      <c r="AD104" s="10" t="n">
        <v>2</v>
      </c>
      <c r="AE104" s="10" t="n">
        <v>3</v>
      </c>
      <c r="AF104" s="10" t="n">
        <v>2</v>
      </c>
      <c r="AG104" s="10" t="n">
        <v>2</v>
      </c>
      <c r="AH104" s="11" t="n">
        <f aca="false">IF(V104="","",6-V104)</f>
        <v>3</v>
      </c>
      <c r="AI104" s="11" t="n">
        <f aca="false">IF(W104="","",6-W104)</f>
        <v>1</v>
      </c>
      <c r="AJ104" s="11" t="n">
        <f aca="false">IF(X104="","",6-X104)</f>
        <v>1</v>
      </c>
      <c r="AK104" s="11" t="n">
        <f aca="false">IF(Y104="","",6-Y104)</f>
        <v>1</v>
      </c>
      <c r="AL104" s="11" t="n">
        <f aca="false">IF(COUNT(H104:O104)=8,SUM(H104:O104),"")</f>
        <v>15</v>
      </c>
      <c r="AM104" s="11" t="n">
        <f aca="false">IF(COUNT(P104:U104,AH104:AK104)=10,SUM(P104:U104,AH104:AK104),"")</f>
        <v>16</v>
      </c>
      <c r="AN104" s="11" t="n">
        <f aca="false">IF(COUNT(Z104:AG104)=8,SUM(Z104:AG104),"")</f>
        <v>20</v>
      </c>
      <c r="AO104" s="12" t="n">
        <f aca="false">IF(AL104="","",AL104/8)</f>
        <v>1.875</v>
      </c>
      <c r="AP104" s="12" t="n">
        <f aca="false">IF(AM104="","",AM104/10)</f>
        <v>1.6</v>
      </c>
      <c r="AQ104" s="12" t="n">
        <f aca="false">IF(AN104="","",AN104/8)</f>
        <v>2.5</v>
      </c>
      <c r="AR104" s="11" t="n">
        <f aca="false">IF(A104="","",IF(OR(F104=1,G104=1,AND(E104&lt;&gt;"",E104&lt;=2)),2,IF(AND(E104&gt;=3,G104=2,OR(F104=2,F104=3)),1,"")))</f>
        <v>2</v>
      </c>
      <c r="AS104" s="11" t="str">
        <f aca="false">IF(AR104=1,"טיפוסי",IF(AR104=2,"מתקשה",""))</f>
        <v>מתקשה</v>
      </c>
      <c r="AT104" s="12" t="str">
        <f aca="false">IF(AR104=1,AO104,"")</f>
        <v/>
      </c>
      <c r="AU104" s="12" t="n">
        <f aca="false">IF(AR104=2,AO104,"")</f>
        <v>1.875</v>
      </c>
      <c r="AV104" s="12" t="str">
        <f aca="false">IF(AR104=1,AP104,"")</f>
        <v/>
      </c>
      <c r="AW104" s="12" t="n">
        <f aca="false">IF(AR104=2,AP104,"")</f>
        <v>1.6</v>
      </c>
      <c r="AX104" s="12" t="str">
        <f aca="false">IF(AR104=1,AQ104,"")</f>
        <v/>
      </c>
      <c r="AY104" s="12" t="n">
        <f aca="false">IF(AR104=2,AQ104,"")</f>
        <v>2.5</v>
      </c>
    </row>
    <row r="105" customFormat="false" ht="15" hidden="false" customHeight="tru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1" t="str">
        <f aca="false">IF(V105="","",6-V105)</f>
        <v/>
      </c>
      <c r="AI105" s="11" t="str">
        <f aca="false">IF(W105="","",6-W105)</f>
        <v/>
      </c>
      <c r="AJ105" s="11" t="str">
        <f aca="false">IF(X105="","",6-X105)</f>
        <v/>
      </c>
      <c r="AK105" s="11" t="str">
        <f aca="false">IF(Y105="","",6-Y105)</f>
        <v/>
      </c>
      <c r="AL105" s="11" t="str">
        <f aca="false">IF(COUNT(H105:O105)=8,SUM(H105:O105),"")</f>
        <v/>
      </c>
      <c r="AM105" s="11" t="str">
        <f aca="false">IF(COUNT(P105:U105,AH105:AK105)=10,SUM(P105:U105,AH105:AK105),"")</f>
        <v/>
      </c>
      <c r="AN105" s="11" t="str">
        <f aca="false">IF(COUNT(Z105:AG105)=8,SUM(Z105:AG105),"")</f>
        <v/>
      </c>
      <c r="AO105" s="12" t="str">
        <f aca="false">IF(AL105="","",AL105/8)</f>
        <v/>
      </c>
      <c r="AP105" s="12" t="str">
        <f aca="false">IF(AM105="","",AM105/10)</f>
        <v/>
      </c>
      <c r="AQ105" s="12" t="str">
        <f aca="false">IF(AN105="","",AN105/8)</f>
        <v/>
      </c>
      <c r="AR105" s="11" t="str">
        <f aca="false">IF(A105="","",IF(OR(F105=1,G105=1,AND(E105&lt;&gt;"",E105&lt;=2)),2,IF(AND(E105&gt;=3,G105=2,OR(F105=2,F105=3)),1,"")))</f>
        <v/>
      </c>
      <c r="AS105" s="11" t="str">
        <f aca="false">IF(AR105=1,"טיפוסי",IF(AR105=2,"מתקשה",""))</f>
        <v/>
      </c>
      <c r="AT105" s="12" t="str">
        <f aca="false">IF(AR105=1,AO105,"")</f>
        <v/>
      </c>
      <c r="AU105" s="12" t="str">
        <f aca="false">IF(AR105=2,AO105,"")</f>
        <v/>
      </c>
      <c r="AV105" s="12" t="str">
        <f aca="false">IF(AR105=1,AP105,"")</f>
        <v/>
      </c>
      <c r="AW105" s="12" t="str">
        <f aca="false">IF(AR105=2,AP105,"")</f>
        <v/>
      </c>
      <c r="AX105" s="12" t="str">
        <f aca="false">IF(AR105=1,AQ105,"")</f>
        <v/>
      </c>
      <c r="AY105" s="12" t="str">
        <f aca="false">IF(AR105=2,AQ105,"")</f>
        <v/>
      </c>
    </row>
    <row r="106" customFormat="false" ht="15" hidden="false" customHeight="tru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1" t="str">
        <f aca="false">IF(V106="","",6-V106)</f>
        <v/>
      </c>
      <c r="AI106" s="11" t="str">
        <f aca="false">IF(W106="","",6-W106)</f>
        <v/>
      </c>
      <c r="AJ106" s="11" t="str">
        <f aca="false">IF(X106="","",6-X106)</f>
        <v/>
      </c>
      <c r="AK106" s="11" t="str">
        <f aca="false">IF(Y106="","",6-Y106)</f>
        <v/>
      </c>
      <c r="AL106" s="11" t="str">
        <f aca="false">IF(COUNT(H106:O106)=8,SUM(H106:O106),"")</f>
        <v/>
      </c>
      <c r="AM106" s="11" t="str">
        <f aca="false">IF(COUNT(P106:U106,AH106:AK106)=10,SUM(P106:U106,AH106:AK106),"")</f>
        <v/>
      </c>
      <c r="AN106" s="11" t="str">
        <f aca="false">IF(COUNT(Z106:AG106)=8,SUM(Z106:AG106),"")</f>
        <v/>
      </c>
      <c r="AO106" s="12" t="str">
        <f aca="false">IF(AL106="","",AL106/8)</f>
        <v/>
      </c>
      <c r="AP106" s="12" t="str">
        <f aca="false">IF(AM106="","",AM106/10)</f>
        <v/>
      </c>
      <c r="AQ106" s="12" t="str">
        <f aca="false">IF(AN106="","",AN106/8)</f>
        <v/>
      </c>
      <c r="AR106" s="11" t="str">
        <f aca="false">IF(A106="","",IF(OR(F106=1,G106=1,AND(E106&lt;&gt;"",E106&lt;=2)),2,IF(AND(E106&gt;=3,G106=2,OR(F106=2,F106=3)),1,"")))</f>
        <v/>
      </c>
      <c r="AS106" s="11" t="str">
        <f aca="false">IF(AR106=1,"טיפוסי",IF(AR106=2,"מתקשה",""))</f>
        <v/>
      </c>
      <c r="AT106" s="12" t="str">
        <f aca="false">IF(AR106=1,AO106,"")</f>
        <v/>
      </c>
      <c r="AU106" s="12" t="str">
        <f aca="false">IF(AR106=2,AO106,"")</f>
        <v/>
      </c>
      <c r="AV106" s="12" t="str">
        <f aca="false">IF(AR106=1,AP106,"")</f>
        <v/>
      </c>
      <c r="AW106" s="12" t="str">
        <f aca="false">IF(AR106=2,AP106,"")</f>
        <v/>
      </c>
      <c r="AX106" s="12" t="str">
        <f aca="false">IF(AR106=1,AQ106,"")</f>
        <v/>
      </c>
      <c r="AY106" s="12" t="str">
        <f aca="false">IF(AR106=2,AQ106,"")</f>
        <v/>
      </c>
    </row>
    <row r="107" customFormat="false" ht="15" hidden="false" customHeight="tru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1" t="str">
        <f aca="false">IF(V107="","",6-V107)</f>
        <v/>
      </c>
      <c r="AI107" s="11" t="str">
        <f aca="false">IF(W107="","",6-W107)</f>
        <v/>
      </c>
      <c r="AJ107" s="11" t="str">
        <f aca="false">IF(X107="","",6-X107)</f>
        <v/>
      </c>
      <c r="AK107" s="11" t="str">
        <f aca="false">IF(Y107="","",6-Y107)</f>
        <v/>
      </c>
      <c r="AL107" s="11" t="str">
        <f aca="false">IF(COUNT(H107:O107)=8,SUM(H107:O107),"")</f>
        <v/>
      </c>
      <c r="AM107" s="11" t="str">
        <f aca="false">IF(COUNT(P107:U107,AH107:AK107)=10,SUM(P107:U107,AH107:AK107),"")</f>
        <v/>
      </c>
      <c r="AN107" s="11" t="str">
        <f aca="false">IF(COUNT(Z107:AG107)=8,SUM(Z107:AG107),"")</f>
        <v/>
      </c>
      <c r="AO107" s="12" t="str">
        <f aca="false">IF(AL107="","",AL107/8)</f>
        <v/>
      </c>
      <c r="AP107" s="12" t="str">
        <f aca="false">IF(AM107="","",AM107/10)</f>
        <v/>
      </c>
      <c r="AQ107" s="12" t="str">
        <f aca="false">IF(AN107="","",AN107/8)</f>
        <v/>
      </c>
      <c r="AR107" s="11" t="str">
        <f aca="false">IF(A107="","",IF(OR(F107=1,G107=1,AND(E107&lt;&gt;"",E107&lt;=2)),2,IF(AND(E107&gt;=3,G107=2,OR(F107=2,F107=3)),1,"")))</f>
        <v/>
      </c>
      <c r="AS107" s="11" t="str">
        <f aca="false">IF(AR107=1,"טיפוסי",IF(AR107=2,"מתקשה",""))</f>
        <v/>
      </c>
      <c r="AT107" s="12" t="str">
        <f aca="false">IF(AR107=1,AO107,"")</f>
        <v/>
      </c>
      <c r="AU107" s="12" t="str">
        <f aca="false">IF(AR107=2,AO107,"")</f>
        <v/>
      </c>
      <c r="AV107" s="12" t="str">
        <f aca="false">IF(AR107=1,AP107,"")</f>
        <v/>
      </c>
      <c r="AW107" s="12" t="str">
        <f aca="false">IF(AR107=2,AP107,"")</f>
        <v/>
      </c>
      <c r="AX107" s="12" t="str">
        <f aca="false">IF(AR107=1,AQ107,"")</f>
        <v/>
      </c>
      <c r="AY107" s="12" t="str">
        <f aca="false">IF(AR107=2,AQ107,"")</f>
        <v/>
      </c>
    </row>
    <row r="108" customFormat="false" ht="15" hidden="false" customHeight="tru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1" t="str">
        <f aca="false">IF(V108="","",6-V108)</f>
        <v/>
      </c>
      <c r="AI108" s="11" t="str">
        <f aca="false">IF(W108="","",6-W108)</f>
        <v/>
      </c>
      <c r="AJ108" s="11" t="str">
        <f aca="false">IF(X108="","",6-X108)</f>
        <v/>
      </c>
      <c r="AK108" s="11" t="str">
        <f aca="false">IF(Y108="","",6-Y108)</f>
        <v/>
      </c>
      <c r="AL108" s="11" t="str">
        <f aca="false">IF(COUNT(H108:O108)=8,SUM(H108:O108),"")</f>
        <v/>
      </c>
      <c r="AM108" s="11" t="str">
        <f aca="false">IF(COUNT(P108:U108,AH108:AK108)=10,SUM(P108:U108,AH108:AK108),"")</f>
        <v/>
      </c>
      <c r="AN108" s="11" t="str">
        <f aca="false">IF(COUNT(Z108:AG108)=8,SUM(Z108:AG108),"")</f>
        <v/>
      </c>
      <c r="AO108" s="12" t="str">
        <f aca="false">IF(AL108="","",AL108/8)</f>
        <v/>
      </c>
      <c r="AP108" s="12" t="str">
        <f aca="false">IF(AM108="","",AM108/10)</f>
        <v/>
      </c>
      <c r="AQ108" s="12" t="str">
        <f aca="false">IF(AN108="","",AN108/8)</f>
        <v/>
      </c>
      <c r="AR108" s="11" t="str">
        <f aca="false">IF(A108="","",IF(OR(F108=1,G108=1,AND(E108&lt;&gt;"",E108&lt;=2)),2,IF(AND(E108&gt;=3,G108=2,OR(F108=2,F108=3)),1,"")))</f>
        <v/>
      </c>
      <c r="AS108" s="11" t="str">
        <f aca="false">IF(AR108=1,"טיפוסי",IF(AR108=2,"מתקשה",""))</f>
        <v/>
      </c>
      <c r="AT108" s="12" t="str">
        <f aca="false">IF(AR108=1,AO108,"")</f>
        <v/>
      </c>
      <c r="AU108" s="12" t="str">
        <f aca="false">IF(AR108=2,AO108,"")</f>
        <v/>
      </c>
      <c r="AV108" s="12" t="str">
        <f aca="false">IF(AR108=1,AP108,"")</f>
        <v/>
      </c>
      <c r="AW108" s="12" t="str">
        <f aca="false">IF(AR108=2,AP108,"")</f>
        <v/>
      </c>
      <c r="AX108" s="12" t="str">
        <f aca="false">IF(AR108=1,AQ108,"")</f>
        <v/>
      </c>
      <c r="AY108" s="12" t="str">
        <f aca="false">IF(AR108=2,AQ108,"")</f>
        <v/>
      </c>
    </row>
    <row r="109" customFormat="false" ht="15" hidden="false" customHeight="tru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1" t="str">
        <f aca="false">IF(V109="","",6-V109)</f>
        <v/>
      </c>
      <c r="AI109" s="11" t="str">
        <f aca="false">IF(W109="","",6-W109)</f>
        <v/>
      </c>
      <c r="AJ109" s="11" t="str">
        <f aca="false">IF(X109="","",6-X109)</f>
        <v/>
      </c>
      <c r="AK109" s="11" t="str">
        <f aca="false">IF(Y109="","",6-Y109)</f>
        <v/>
      </c>
      <c r="AL109" s="11" t="str">
        <f aca="false">IF(COUNT(H109:O109)=8,SUM(H109:O109),"")</f>
        <v/>
      </c>
      <c r="AM109" s="11" t="str">
        <f aca="false">IF(COUNT(P109:U109,AH109:AK109)=10,SUM(P109:U109,AH109:AK109),"")</f>
        <v/>
      </c>
      <c r="AN109" s="11" t="str">
        <f aca="false">IF(COUNT(Z109:AG109)=8,SUM(Z109:AG109),"")</f>
        <v/>
      </c>
      <c r="AO109" s="12" t="str">
        <f aca="false">IF(AL109="","",AL109/8)</f>
        <v/>
      </c>
      <c r="AP109" s="12" t="str">
        <f aca="false">IF(AM109="","",AM109/10)</f>
        <v/>
      </c>
      <c r="AQ109" s="12" t="str">
        <f aca="false">IF(AN109="","",AN109/8)</f>
        <v/>
      </c>
      <c r="AR109" s="11" t="str">
        <f aca="false">IF(A109="","",IF(OR(F109=1,G109=1,AND(E109&lt;&gt;"",E109&lt;=2)),2,IF(AND(E109&gt;=3,G109=2,OR(F109=2,F109=3)),1,"")))</f>
        <v/>
      </c>
      <c r="AS109" s="11" t="str">
        <f aca="false">IF(AR109=1,"טיפוסי",IF(AR109=2,"מתקשה",""))</f>
        <v/>
      </c>
      <c r="AT109" s="12" t="str">
        <f aca="false">IF(AR109=1,AO109,"")</f>
        <v/>
      </c>
      <c r="AU109" s="12" t="str">
        <f aca="false">IF(AR109=2,AO109,"")</f>
        <v/>
      </c>
      <c r="AV109" s="12" t="str">
        <f aca="false">IF(AR109=1,AP109,"")</f>
        <v/>
      </c>
      <c r="AW109" s="12" t="str">
        <f aca="false">IF(AR109=2,AP109,"")</f>
        <v/>
      </c>
      <c r="AX109" s="12" t="str">
        <f aca="false">IF(AR109=1,AQ109,"")</f>
        <v/>
      </c>
      <c r="AY109" s="12" t="str">
        <f aca="false">IF(AR109=2,AQ109,"")</f>
        <v/>
      </c>
    </row>
    <row r="110" customFormat="false" ht="15" hidden="false" customHeight="tru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1" t="str">
        <f aca="false">IF(V110="","",6-V110)</f>
        <v/>
      </c>
      <c r="AI110" s="11" t="str">
        <f aca="false">IF(W110="","",6-W110)</f>
        <v/>
      </c>
      <c r="AJ110" s="11" t="str">
        <f aca="false">IF(X110="","",6-X110)</f>
        <v/>
      </c>
      <c r="AK110" s="11" t="str">
        <f aca="false">IF(Y110="","",6-Y110)</f>
        <v/>
      </c>
      <c r="AL110" s="11" t="str">
        <f aca="false">IF(COUNT(H110:O110)=8,SUM(H110:O110),"")</f>
        <v/>
      </c>
      <c r="AM110" s="11" t="str">
        <f aca="false">IF(COUNT(P110:U110,AH110:AK110)=10,SUM(P110:U110,AH110:AK110),"")</f>
        <v/>
      </c>
      <c r="AN110" s="11" t="str">
        <f aca="false">IF(COUNT(Z110:AG110)=8,SUM(Z110:AG110),"")</f>
        <v/>
      </c>
      <c r="AO110" s="12" t="str">
        <f aca="false">IF(AL110="","",AL110/8)</f>
        <v/>
      </c>
      <c r="AP110" s="12" t="str">
        <f aca="false">IF(AM110="","",AM110/10)</f>
        <v/>
      </c>
      <c r="AQ110" s="12" t="str">
        <f aca="false">IF(AN110="","",AN110/8)</f>
        <v/>
      </c>
      <c r="AR110" s="11" t="str">
        <f aca="false">IF(A110="","",IF(OR(F110=1,G110=1,AND(E110&lt;&gt;"",E110&lt;=2)),2,IF(AND(E110&gt;=3,G110=2,OR(F110=2,F110=3)),1,"")))</f>
        <v/>
      </c>
      <c r="AS110" s="11" t="str">
        <f aca="false">IF(AR110=1,"טיפוסי",IF(AR110=2,"מתקשה",""))</f>
        <v/>
      </c>
      <c r="AT110" s="12" t="str">
        <f aca="false">IF(AR110=1,AO110,"")</f>
        <v/>
      </c>
      <c r="AU110" s="12" t="str">
        <f aca="false">IF(AR110=2,AO110,"")</f>
        <v/>
      </c>
      <c r="AV110" s="12" t="str">
        <f aca="false">IF(AR110=1,AP110,"")</f>
        <v/>
      </c>
      <c r="AW110" s="12" t="str">
        <f aca="false">IF(AR110=2,AP110,"")</f>
        <v/>
      </c>
      <c r="AX110" s="12" t="str">
        <f aca="false">IF(AR110=1,AQ110,"")</f>
        <v/>
      </c>
      <c r="AY110" s="12" t="str">
        <f aca="false">IF(AR110=2,AQ110,"")</f>
        <v/>
      </c>
    </row>
    <row r="111" customFormat="false" ht="15" hidden="false" customHeight="tru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1" t="str">
        <f aca="false">IF(V111="","",6-V111)</f>
        <v/>
      </c>
      <c r="AI111" s="11" t="str">
        <f aca="false">IF(W111="","",6-W111)</f>
        <v/>
      </c>
      <c r="AJ111" s="11" t="str">
        <f aca="false">IF(X111="","",6-X111)</f>
        <v/>
      </c>
      <c r="AK111" s="11" t="str">
        <f aca="false">IF(Y111="","",6-Y111)</f>
        <v/>
      </c>
      <c r="AL111" s="11" t="str">
        <f aca="false">IF(COUNT(H111:O111)=8,SUM(H111:O111),"")</f>
        <v/>
      </c>
      <c r="AM111" s="11" t="str">
        <f aca="false">IF(COUNT(P111:U111,AH111:AK111)=10,SUM(P111:U111,AH111:AK111),"")</f>
        <v/>
      </c>
      <c r="AN111" s="11" t="str">
        <f aca="false">IF(COUNT(Z111:AG111)=8,SUM(Z111:AG111),"")</f>
        <v/>
      </c>
      <c r="AO111" s="12" t="str">
        <f aca="false">IF(AL111="","",AL111/8)</f>
        <v/>
      </c>
      <c r="AP111" s="12" t="str">
        <f aca="false">IF(AM111="","",AM111/10)</f>
        <v/>
      </c>
      <c r="AQ111" s="12" t="str">
        <f aca="false">IF(AN111="","",AN111/8)</f>
        <v/>
      </c>
      <c r="AR111" s="11" t="str">
        <f aca="false">IF(A111="","",IF(OR(F111=1,G111=1,AND(E111&lt;&gt;"",E111&lt;=2)),2,IF(AND(E111&gt;=3,G111=2,OR(F111=2,F111=3)),1,"")))</f>
        <v/>
      </c>
      <c r="AS111" s="11" t="str">
        <f aca="false">IF(AR111=1,"טיפוסי",IF(AR111=2,"מתקשה",""))</f>
        <v/>
      </c>
      <c r="AT111" s="12" t="str">
        <f aca="false">IF(AR111=1,AO111,"")</f>
        <v/>
      </c>
      <c r="AU111" s="12" t="str">
        <f aca="false">IF(AR111=2,AO111,"")</f>
        <v/>
      </c>
      <c r="AV111" s="12" t="str">
        <f aca="false">IF(AR111=1,AP111,"")</f>
        <v/>
      </c>
      <c r="AW111" s="12" t="str">
        <f aca="false">IF(AR111=2,AP111,"")</f>
        <v/>
      </c>
      <c r="AX111" s="12" t="str">
        <f aca="false">IF(AR111=1,AQ111,"")</f>
        <v/>
      </c>
      <c r="AY111" s="12" t="str">
        <f aca="false">IF(AR111=2,AQ111,"")</f>
        <v/>
      </c>
    </row>
    <row r="112" customFormat="false" ht="15" hidden="false" customHeight="tru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1" t="str">
        <f aca="false">IF(V112="","",6-V112)</f>
        <v/>
      </c>
      <c r="AI112" s="11" t="str">
        <f aca="false">IF(W112="","",6-W112)</f>
        <v/>
      </c>
      <c r="AJ112" s="11" t="str">
        <f aca="false">IF(X112="","",6-X112)</f>
        <v/>
      </c>
      <c r="AK112" s="11" t="str">
        <f aca="false">IF(Y112="","",6-Y112)</f>
        <v/>
      </c>
      <c r="AL112" s="11" t="str">
        <f aca="false">IF(COUNT(H112:O112)=8,SUM(H112:O112),"")</f>
        <v/>
      </c>
      <c r="AM112" s="11" t="str">
        <f aca="false">IF(COUNT(P112:U112,AH112:AK112)=10,SUM(P112:U112,AH112:AK112),"")</f>
        <v/>
      </c>
      <c r="AN112" s="11" t="str">
        <f aca="false">IF(COUNT(Z112:AG112)=8,SUM(Z112:AG112),"")</f>
        <v/>
      </c>
      <c r="AO112" s="12" t="str">
        <f aca="false">IF(AL112="","",AL112/8)</f>
        <v/>
      </c>
      <c r="AP112" s="12" t="str">
        <f aca="false">IF(AM112="","",AM112/10)</f>
        <v/>
      </c>
      <c r="AQ112" s="12" t="str">
        <f aca="false">IF(AN112="","",AN112/8)</f>
        <v/>
      </c>
      <c r="AR112" s="11" t="str">
        <f aca="false">IF(A112="","",IF(OR(F112=1,G112=1,AND(E112&lt;&gt;"",E112&lt;=2)),2,IF(AND(E112&gt;=3,G112=2,OR(F112=2,F112=3)),1,"")))</f>
        <v/>
      </c>
      <c r="AS112" s="11" t="str">
        <f aca="false">IF(AR112=1,"טיפוסי",IF(AR112=2,"מתקשה",""))</f>
        <v/>
      </c>
      <c r="AT112" s="12" t="str">
        <f aca="false">IF(AR112=1,AO112,"")</f>
        <v/>
      </c>
      <c r="AU112" s="12" t="str">
        <f aca="false">IF(AR112=2,AO112,"")</f>
        <v/>
      </c>
      <c r="AV112" s="12" t="str">
        <f aca="false">IF(AR112=1,AP112,"")</f>
        <v/>
      </c>
      <c r="AW112" s="12" t="str">
        <f aca="false">IF(AR112=2,AP112,"")</f>
        <v/>
      </c>
      <c r="AX112" s="12" t="str">
        <f aca="false">IF(AR112=1,AQ112,"")</f>
        <v/>
      </c>
      <c r="AY112" s="12" t="str">
        <f aca="false">IF(AR112=2,AQ112,"")</f>
        <v/>
      </c>
    </row>
    <row r="113" customFormat="false" ht="15" hidden="false" customHeight="tru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1" t="str">
        <f aca="false">IF(V113="","",6-V113)</f>
        <v/>
      </c>
      <c r="AI113" s="11" t="str">
        <f aca="false">IF(W113="","",6-W113)</f>
        <v/>
      </c>
      <c r="AJ113" s="11" t="str">
        <f aca="false">IF(X113="","",6-X113)</f>
        <v/>
      </c>
      <c r="AK113" s="11" t="str">
        <f aca="false">IF(Y113="","",6-Y113)</f>
        <v/>
      </c>
      <c r="AL113" s="11" t="str">
        <f aca="false">IF(COUNT(H113:O113)=8,SUM(H113:O113),"")</f>
        <v/>
      </c>
      <c r="AM113" s="11" t="str">
        <f aca="false">IF(COUNT(P113:U113,AH113:AK113)=10,SUM(P113:U113,AH113:AK113),"")</f>
        <v/>
      </c>
      <c r="AN113" s="11" t="str">
        <f aca="false">IF(COUNT(Z113:AG113)=8,SUM(Z113:AG113),"")</f>
        <v/>
      </c>
      <c r="AO113" s="12" t="str">
        <f aca="false">IF(AL113="","",AL113/8)</f>
        <v/>
      </c>
      <c r="AP113" s="12" t="str">
        <f aca="false">IF(AM113="","",AM113/10)</f>
        <v/>
      </c>
      <c r="AQ113" s="12" t="str">
        <f aca="false">IF(AN113="","",AN113/8)</f>
        <v/>
      </c>
      <c r="AR113" s="11" t="str">
        <f aca="false">IF(A113="","",IF(OR(F113=1,G113=1,AND(E113&lt;&gt;"",E113&lt;=2)),2,IF(AND(E113&gt;=3,G113=2,OR(F113=2,F113=3)),1,"")))</f>
        <v/>
      </c>
      <c r="AS113" s="11" t="str">
        <f aca="false">IF(AR113=1,"טיפוסי",IF(AR113=2,"מתקשה",""))</f>
        <v/>
      </c>
      <c r="AT113" s="12" t="str">
        <f aca="false">IF(AR113=1,AO113,"")</f>
        <v/>
      </c>
      <c r="AU113" s="12" t="str">
        <f aca="false">IF(AR113=2,AO113,"")</f>
        <v/>
      </c>
      <c r="AV113" s="12" t="str">
        <f aca="false">IF(AR113=1,AP113,"")</f>
        <v/>
      </c>
      <c r="AW113" s="12" t="str">
        <f aca="false">IF(AR113=2,AP113,"")</f>
        <v/>
      </c>
      <c r="AX113" s="12" t="str">
        <f aca="false">IF(AR113=1,AQ113,"")</f>
        <v/>
      </c>
      <c r="AY113" s="12" t="str">
        <f aca="false">IF(AR113=2,AQ113,"")</f>
        <v/>
      </c>
    </row>
    <row r="114" customFormat="false" ht="15" hidden="false" customHeight="tru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1" t="str">
        <f aca="false">IF(V114="","",6-V114)</f>
        <v/>
      </c>
      <c r="AI114" s="11" t="str">
        <f aca="false">IF(W114="","",6-W114)</f>
        <v/>
      </c>
      <c r="AJ114" s="11" t="str">
        <f aca="false">IF(X114="","",6-X114)</f>
        <v/>
      </c>
      <c r="AK114" s="11" t="str">
        <f aca="false">IF(Y114="","",6-Y114)</f>
        <v/>
      </c>
      <c r="AL114" s="11" t="str">
        <f aca="false">IF(COUNT(H114:O114)=8,SUM(H114:O114),"")</f>
        <v/>
      </c>
      <c r="AM114" s="11" t="str">
        <f aca="false">IF(COUNT(P114:U114,AH114:AK114)=10,SUM(P114:U114,AH114:AK114),"")</f>
        <v/>
      </c>
      <c r="AN114" s="11" t="str">
        <f aca="false">IF(COUNT(Z114:AG114)=8,SUM(Z114:AG114),"")</f>
        <v/>
      </c>
      <c r="AO114" s="12" t="str">
        <f aca="false">IF(AL114="","",AL114/8)</f>
        <v/>
      </c>
      <c r="AP114" s="12" t="str">
        <f aca="false">IF(AM114="","",AM114/10)</f>
        <v/>
      </c>
      <c r="AQ114" s="12" t="str">
        <f aca="false">IF(AN114="","",AN114/8)</f>
        <v/>
      </c>
      <c r="AR114" s="11" t="str">
        <f aca="false">IF(A114="","",IF(OR(F114=1,G114=1,AND(E114&lt;&gt;"",E114&lt;=2)),2,IF(AND(E114&gt;=3,G114=2,OR(F114=2,F114=3)),1,"")))</f>
        <v/>
      </c>
      <c r="AS114" s="11" t="str">
        <f aca="false">IF(AR114=1,"טיפוסי",IF(AR114=2,"מתקשה",""))</f>
        <v/>
      </c>
      <c r="AT114" s="12" t="str">
        <f aca="false">IF(AR114=1,AO114,"")</f>
        <v/>
      </c>
      <c r="AU114" s="12" t="str">
        <f aca="false">IF(AR114=2,AO114,"")</f>
        <v/>
      </c>
      <c r="AV114" s="12" t="str">
        <f aca="false">IF(AR114=1,AP114,"")</f>
        <v/>
      </c>
      <c r="AW114" s="12" t="str">
        <f aca="false">IF(AR114=2,AP114,"")</f>
        <v/>
      </c>
      <c r="AX114" s="12" t="str">
        <f aca="false">IF(AR114=1,AQ114,"")</f>
        <v/>
      </c>
      <c r="AY114" s="12" t="str">
        <f aca="false">IF(AR114=2,AQ114,"")</f>
        <v/>
      </c>
    </row>
    <row r="115" customFormat="false" ht="1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1" t="str">
        <f aca="false">IF(V115="","",6-V115)</f>
        <v/>
      </c>
      <c r="AI115" s="11" t="str">
        <f aca="false">IF(W115="","",6-W115)</f>
        <v/>
      </c>
      <c r="AJ115" s="11" t="str">
        <f aca="false">IF(X115="","",6-X115)</f>
        <v/>
      </c>
      <c r="AK115" s="11" t="str">
        <f aca="false">IF(Y115="","",6-Y115)</f>
        <v/>
      </c>
      <c r="AL115" s="11" t="str">
        <f aca="false">IF(COUNT(H115:O115)=8,SUM(H115:O115),"")</f>
        <v/>
      </c>
      <c r="AM115" s="11" t="str">
        <f aca="false">IF(COUNT(P115:U115,AH115:AK115)=10,SUM(P115:U115,AH115:AK115),"")</f>
        <v/>
      </c>
      <c r="AN115" s="11" t="str">
        <f aca="false">IF(COUNT(Z115:AG115)=8,SUM(Z115:AG115),"")</f>
        <v/>
      </c>
      <c r="AO115" s="12" t="str">
        <f aca="false">IF(AL115="","",AL115/8)</f>
        <v/>
      </c>
      <c r="AP115" s="12" t="str">
        <f aca="false">IF(AM115="","",AM115/10)</f>
        <v/>
      </c>
      <c r="AQ115" s="12" t="str">
        <f aca="false">IF(AN115="","",AN115/8)</f>
        <v/>
      </c>
      <c r="AR115" s="11" t="str">
        <f aca="false">IF(A115="","",IF(OR(F115=1,G115=1,AND(E115&lt;&gt;"",E115&lt;=2)),2,IF(AND(E115&gt;=3,G115=2,OR(F115=2,F115=3)),1,"")))</f>
        <v/>
      </c>
      <c r="AS115" s="11" t="str">
        <f aca="false">IF(AR115=1,"טיפוסי",IF(AR115=2,"מתקשה",""))</f>
        <v/>
      </c>
      <c r="AT115" s="12" t="str">
        <f aca="false">IF(AR115=1,AO115,"")</f>
        <v/>
      </c>
      <c r="AU115" s="12" t="str">
        <f aca="false">IF(AR115=2,AO115,"")</f>
        <v/>
      </c>
      <c r="AV115" s="12" t="str">
        <f aca="false">IF(AR115=1,AP115,"")</f>
        <v/>
      </c>
      <c r="AW115" s="12" t="str">
        <f aca="false">IF(AR115=2,AP115,"")</f>
        <v/>
      </c>
      <c r="AX115" s="12" t="str">
        <f aca="false">IF(AR115=1,AQ115,"")</f>
        <v/>
      </c>
      <c r="AY115" s="12" t="str">
        <f aca="false">IF(AR115=2,AQ115,"")</f>
        <v/>
      </c>
    </row>
    <row r="116" customFormat="false" ht="15" hidden="false" customHeight="tru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1" t="str">
        <f aca="false">IF(V116="","",6-V116)</f>
        <v/>
      </c>
      <c r="AI116" s="11" t="str">
        <f aca="false">IF(W116="","",6-W116)</f>
        <v/>
      </c>
      <c r="AJ116" s="11" t="str">
        <f aca="false">IF(X116="","",6-X116)</f>
        <v/>
      </c>
      <c r="AK116" s="11" t="str">
        <f aca="false">IF(Y116="","",6-Y116)</f>
        <v/>
      </c>
      <c r="AL116" s="11" t="str">
        <f aca="false">IF(COUNT(H116:O116)=8,SUM(H116:O116),"")</f>
        <v/>
      </c>
      <c r="AM116" s="11" t="str">
        <f aca="false">IF(COUNT(P116:U116,AH116:AK116)=10,SUM(P116:U116,AH116:AK116),"")</f>
        <v/>
      </c>
      <c r="AN116" s="11" t="str">
        <f aca="false">IF(COUNT(Z116:AG116)=8,SUM(Z116:AG116),"")</f>
        <v/>
      </c>
      <c r="AO116" s="12" t="str">
        <f aca="false">IF(AL116="","",AL116/8)</f>
        <v/>
      </c>
      <c r="AP116" s="12" t="str">
        <f aca="false">IF(AM116="","",AM116/10)</f>
        <v/>
      </c>
      <c r="AQ116" s="12" t="str">
        <f aca="false">IF(AN116="","",AN116/8)</f>
        <v/>
      </c>
      <c r="AR116" s="11" t="str">
        <f aca="false">IF(A116="","",IF(OR(F116=1,G116=1,AND(E116&lt;&gt;"",E116&lt;=2)),2,IF(AND(E116&gt;=3,G116=2,OR(F116=2,F116=3)),1,"")))</f>
        <v/>
      </c>
      <c r="AS116" s="11" t="str">
        <f aca="false">IF(AR116=1,"טיפוסי",IF(AR116=2,"מתקשה",""))</f>
        <v/>
      </c>
      <c r="AT116" s="12" t="str">
        <f aca="false">IF(AR116=1,AO116,"")</f>
        <v/>
      </c>
      <c r="AU116" s="12" t="str">
        <f aca="false">IF(AR116=2,AO116,"")</f>
        <v/>
      </c>
      <c r="AV116" s="12" t="str">
        <f aca="false">IF(AR116=1,AP116,"")</f>
        <v/>
      </c>
      <c r="AW116" s="12" t="str">
        <f aca="false">IF(AR116=2,AP116,"")</f>
        <v/>
      </c>
      <c r="AX116" s="12" t="str">
        <f aca="false">IF(AR116=1,AQ116,"")</f>
        <v/>
      </c>
      <c r="AY116" s="12" t="str">
        <f aca="false">IF(AR116=2,AQ116,"")</f>
        <v/>
      </c>
    </row>
    <row r="117" customFormat="false" ht="15" hidden="false" customHeight="tru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1" t="str">
        <f aca="false">IF(V117="","",6-V117)</f>
        <v/>
      </c>
      <c r="AI117" s="11" t="str">
        <f aca="false">IF(W117="","",6-W117)</f>
        <v/>
      </c>
      <c r="AJ117" s="11" t="str">
        <f aca="false">IF(X117="","",6-X117)</f>
        <v/>
      </c>
      <c r="AK117" s="11" t="str">
        <f aca="false">IF(Y117="","",6-Y117)</f>
        <v/>
      </c>
      <c r="AL117" s="11" t="str">
        <f aca="false">IF(COUNT(H117:O117)=8,SUM(H117:O117),"")</f>
        <v/>
      </c>
      <c r="AM117" s="11" t="str">
        <f aca="false">IF(COUNT(P117:U117,AH117:AK117)=10,SUM(P117:U117,AH117:AK117),"")</f>
        <v/>
      </c>
      <c r="AN117" s="11" t="str">
        <f aca="false">IF(COUNT(Z117:AG117)=8,SUM(Z117:AG117),"")</f>
        <v/>
      </c>
      <c r="AO117" s="12" t="str">
        <f aca="false">IF(AL117="","",AL117/8)</f>
        <v/>
      </c>
      <c r="AP117" s="12" t="str">
        <f aca="false">IF(AM117="","",AM117/10)</f>
        <v/>
      </c>
      <c r="AQ117" s="12" t="str">
        <f aca="false">IF(AN117="","",AN117/8)</f>
        <v/>
      </c>
      <c r="AR117" s="11" t="str">
        <f aca="false">IF(A117="","",IF(OR(F117=1,G117=1,AND(E117&lt;&gt;"",E117&lt;=2)),2,IF(AND(E117&gt;=3,G117=2,OR(F117=2,F117=3)),1,"")))</f>
        <v/>
      </c>
      <c r="AS117" s="11" t="str">
        <f aca="false">IF(AR117=1,"טיפוסי",IF(AR117=2,"מתקשה",""))</f>
        <v/>
      </c>
      <c r="AT117" s="12" t="str">
        <f aca="false">IF(AR117=1,AO117,"")</f>
        <v/>
      </c>
      <c r="AU117" s="12" t="str">
        <f aca="false">IF(AR117=2,AO117,"")</f>
        <v/>
      </c>
      <c r="AV117" s="12" t="str">
        <f aca="false">IF(AR117=1,AP117,"")</f>
        <v/>
      </c>
      <c r="AW117" s="12" t="str">
        <f aca="false">IF(AR117=2,AP117,"")</f>
        <v/>
      </c>
      <c r="AX117" s="12" t="str">
        <f aca="false">IF(AR117=1,AQ117,"")</f>
        <v/>
      </c>
      <c r="AY117" s="12" t="str">
        <f aca="false">IF(AR117=2,AQ117,"")</f>
        <v/>
      </c>
    </row>
    <row r="118" customFormat="false" ht="15" hidden="false" customHeight="tru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1" t="str">
        <f aca="false">IF(V118="","",6-V118)</f>
        <v/>
      </c>
      <c r="AI118" s="11" t="str">
        <f aca="false">IF(W118="","",6-W118)</f>
        <v/>
      </c>
      <c r="AJ118" s="11" t="str">
        <f aca="false">IF(X118="","",6-X118)</f>
        <v/>
      </c>
      <c r="AK118" s="11" t="str">
        <f aca="false">IF(Y118="","",6-Y118)</f>
        <v/>
      </c>
      <c r="AL118" s="11" t="str">
        <f aca="false">IF(COUNT(H118:O118)=8,SUM(H118:O118),"")</f>
        <v/>
      </c>
      <c r="AM118" s="11" t="str">
        <f aca="false">IF(COUNT(P118:U118,AH118:AK118)=10,SUM(P118:U118,AH118:AK118),"")</f>
        <v/>
      </c>
      <c r="AN118" s="11" t="str">
        <f aca="false">IF(COUNT(Z118:AG118)=8,SUM(Z118:AG118),"")</f>
        <v/>
      </c>
      <c r="AO118" s="12" t="str">
        <f aca="false">IF(AL118="","",AL118/8)</f>
        <v/>
      </c>
      <c r="AP118" s="12" t="str">
        <f aca="false">IF(AM118="","",AM118/10)</f>
        <v/>
      </c>
      <c r="AQ118" s="12" t="str">
        <f aca="false">IF(AN118="","",AN118/8)</f>
        <v/>
      </c>
      <c r="AR118" s="11" t="str">
        <f aca="false">IF(A118="","",IF(OR(F118=1,G118=1,AND(E118&lt;&gt;"",E118&lt;=2)),2,IF(AND(E118&gt;=3,G118=2,OR(F118=2,F118=3)),1,"")))</f>
        <v/>
      </c>
      <c r="AS118" s="11" t="str">
        <f aca="false">IF(AR118=1,"טיפוסי",IF(AR118=2,"מתקשה",""))</f>
        <v/>
      </c>
      <c r="AT118" s="12" t="str">
        <f aca="false">IF(AR118=1,AO118,"")</f>
        <v/>
      </c>
      <c r="AU118" s="12" t="str">
        <f aca="false">IF(AR118=2,AO118,"")</f>
        <v/>
      </c>
      <c r="AV118" s="12" t="str">
        <f aca="false">IF(AR118=1,AP118,"")</f>
        <v/>
      </c>
      <c r="AW118" s="12" t="str">
        <f aca="false">IF(AR118=2,AP118,"")</f>
        <v/>
      </c>
      <c r="AX118" s="12" t="str">
        <f aca="false">IF(AR118=1,AQ118,"")</f>
        <v/>
      </c>
      <c r="AY118" s="12" t="str">
        <f aca="false">IF(AR118=2,AQ118,"")</f>
        <v/>
      </c>
    </row>
    <row r="119" customFormat="false" ht="15" hidden="false" customHeight="tru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1" t="str">
        <f aca="false">IF(V119="","",6-V119)</f>
        <v/>
      </c>
      <c r="AI119" s="11" t="str">
        <f aca="false">IF(W119="","",6-W119)</f>
        <v/>
      </c>
      <c r="AJ119" s="11" t="str">
        <f aca="false">IF(X119="","",6-X119)</f>
        <v/>
      </c>
      <c r="AK119" s="11" t="str">
        <f aca="false">IF(Y119="","",6-Y119)</f>
        <v/>
      </c>
      <c r="AL119" s="11" t="str">
        <f aca="false">IF(COUNT(H119:O119)=8,SUM(H119:O119),"")</f>
        <v/>
      </c>
      <c r="AM119" s="11" t="str">
        <f aca="false">IF(COUNT(P119:U119,AH119:AK119)=10,SUM(P119:U119,AH119:AK119),"")</f>
        <v/>
      </c>
      <c r="AN119" s="11" t="str">
        <f aca="false">IF(COUNT(Z119:AG119)=8,SUM(Z119:AG119),"")</f>
        <v/>
      </c>
      <c r="AO119" s="12" t="str">
        <f aca="false">IF(AL119="","",AL119/8)</f>
        <v/>
      </c>
      <c r="AP119" s="12" t="str">
        <f aca="false">IF(AM119="","",AM119/10)</f>
        <v/>
      </c>
      <c r="AQ119" s="12" t="str">
        <f aca="false">IF(AN119="","",AN119/8)</f>
        <v/>
      </c>
      <c r="AR119" s="11" t="str">
        <f aca="false">IF(A119="","",IF(OR(F119=1,G119=1,AND(E119&lt;&gt;"",E119&lt;=2)),2,IF(AND(E119&gt;=3,G119=2,OR(F119=2,F119=3)),1,"")))</f>
        <v/>
      </c>
      <c r="AS119" s="11" t="str">
        <f aca="false">IF(AR119=1,"טיפוסי",IF(AR119=2,"מתקשה",""))</f>
        <v/>
      </c>
      <c r="AT119" s="12" t="str">
        <f aca="false">IF(AR119=1,AO119,"")</f>
        <v/>
      </c>
      <c r="AU119" s="12" t="str">
        <f aca="false">IF(AR119=2,AO119,"")</f>
        <v/>
      </c>
      <c r="AV119" s="12" t="str">
        <f aca="false">IF(AR119=1,AP119,"")</f>
        <v/>
      </c>
      <c r="AW119" s="12" t="str">
        <f aca="false">IF(AR119=2,AP119,"")</f>
        <v/>
      </c>
      <c r="AX119" s="12" t="str">
        <f aca="false">IF(AR119=1,AQ119,"")</f>
        <v/>
      </c>
      <c r="AY119" s="12" t="str">
        <f aca="false">IF(AR119=2,AQ119,"")</f>
        <v/>
      </c>
    </row>
    <row r="120" customFormat="false" ht="15" hidden="false" customHeight="tru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1" t="str">
        <f aca="false">IF(V120="","",6-V120)</f>
        <v/>
      </c>
      <c r="AI120" s="11" t="str">
        <f aca="false">IF(W120="","",6-W120)</f>
        <v/>
      </c>
      <c r="AJ120" s="11" t="str">
        <f aca="false">IF(X120="","",6-X120)</f>
        <v/>
      </c>
      <c r="AK120" s="11" t="str">
        <f aca="false">IF(Y120="","",6-Y120)</f>
        <v/>
      </c>
      <c r="AL120" s="11" t="str">
        <f aca="false">IF(COUNT(H120:O120)=8,SUM(H120:O120),"")</f>
        <v/>
      </c>
      <c r="AM120" s="11" t="str">
        <f aca="false">IF(COUNT(P120:U120,AH120:AK120)=10,SUM(P120:U120,AH120:AK120),"")</f>
        <v/>
      </c>
      <c r="AN120" s="11" t="str">
        <f aca="false">IF(COUNT(Z120:AG120)=8,SUM(Z120:AG120),"")</f>
        <v/>
      </c>
      <c r="AO120" s="12" t="str">
        <f aca="false">IF(AL120="","",AL120/8)</f>
        <v/>
      </c>
      <c r="AP120" s="12" t="str">
        <f aca="false">IF(AM120="","",AM120/10)</f>
        <v/>
      </c>
      <c r="AQ120" s="12" t="str">
        <f aca="false">IF(AN120="","",AN120/8)</f>
        <v/>
      </c>
      <c r="AR120" s="11" t="str">
        <f aca="false">IF(A120="","",IF(OR(F120=1,G120=1,AND(E120&lt;&gt;"",E120&lt;=2)),2,IF(AND(E120&gt;=3,G120=2,OR(F120=2,F120=3)),1,"")))</f>
        <v/>
      </c>
      <c r="AS120" s="11" t="str">
        <f aca="false">IF(AR120=1,"טיפוסי",IF(AR120=2,"מתקשה",""))</f>
        <v/>
      </c>
      <c r="AT120" s="12" t="str">
        <f aca="false">IF(AR120=1,AO120,"")</f>
        <v/>
      </c>
      <c r="AU120" s="12" t="str">
        <f aca="false">IF(AR120=2,AO120,"")</f>
        <v/>
      </c>
      <c r="AV120" s="12" t="str">
        <f aca="false">IF(AR120=1,AP120,"")</f>
        <v/>
      </c>
      <c r="AW120" s="12" t="str">
        <f aca="false">IF(AR120=2,AP120,"")</f>
        <v/>
      </c>
      <c r="AX120" s="12" t="str">
        <f aca="false">IF(AR120=1,AQ120,"")</f>
        <v/>
      </c>
      <c r="AY120" s="12" t="str">
        <f aca="false">IF(AR120=2,AQ120,"")</f>
        <v/>
      </c>
    </row>
    <row r="121" customFormat="false" ht="15" hidden="false" customHeight="tru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1" t="str">
        <f aca="false">IF(V121="","",6-V121)</f>
        <v/>
      </c>
      <c r="AI121" s="11" t="str">
        <f aca="false">IF(W121="","",6-W121)</f>
        <v/>
      </c>
      <c r="AJ121" s="11" t="str">
        <f aca="false">IF(X121="","",6-X121)</f>
        <v/>
      </c>
      <c r="AK121" s="11" t="str">
        <f aca="false">IF(Y121="","",6-Y121)</f>
        <v/>
      </c>
      <c r="AL121" s="11" t="str">
        <f aca="false">IF(COUNT(H121:O121)=8,SUM(H121:O121),"")</f>
        <v/>
      </c>
      <c r="AM121" s="11" t="str">
        <f aca="false">IF(COUNT(P121:U121,AH121:AK121)=10,SUM(P121:U121,AH121:AK121),"")</f>
        <v/>
      </c>
      <c r="AN121" s="11" t="str">
        <f aca="false">IF(COUNT(Z121:AG121)=8,SUM(Z121:AG121),"")</f>
        <v/>
      </c>
      <c r="AO121" s="12" t="str">
        <f aca="false">IF(AL121="","",AL121/8)</f>
        <v/>
      </c>
      <c r="AP121" s="12" t="str">
        <f aca="false">IF(AM121="","",AM121/10)</f>
        <v/>
      </c>
      <c r="AQ121" s="12" t="str">
        <f aca="false">IF(AN121="","",AN121/8)</f>
        <v/>
      </c>
      <c r="AR121" s="11" t="str">
        <f aca="false">IF(A121="","",IF(OR(F121=1,G121=1,AND(E121&lt;&gt;"",E121&lt;=2)),2,IF(AND(E121&gt;=3,G121=2,OR(F121=2,F121=3)),1,"")))</f>
        <v/>
      </c>
      <c r="AS121" s="11" t="str">
        <f aca="false">IF(AR121=1,"טיפוסי",IF(AR121=2,"מתקשה",""))</f>
        <v/>
      </c>
      <c r="AT121" s="12" t="str">
        <f aca="false">IF(AR121=1,AO121,"")</f>
        <v/>
      </c>
      <c r="AU121" s="12" t="str">
        <f aca="false">IF(AR121=2,AO121,"")</f>
        <v/>
      </c>
      <c r="AV121" s="12" t="str">
        <f aca="false">IF(AR121=1,AP121,"")</f>
        <v/>
      </c>
      <c r="AW121" s="12" t="str">
        <f aca="false">IF(AR121=2,AP121,"")</f>
        <v/>
      </c>
      <c r="AX121" s="12" t="str">
        <f aca="false">IF(AR121=1,AQ121,"")</f>
        <v/>
      </c>
      <c r="AY121" s="12" t="str">
        <f aca="false">IF(AR121=2,AQ121,"")</f>
        <v/>
      </c>
    </row>
    <row r="122" customFormat="false" ht="15" hidden="false" customHeight="tru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1" t="str">
        <f aca="false">IF(V122="","",6-V122)</f>
        <v/>
      </c>
      <c r="AI122" s="11" t="str">
        <f aca="false">IF(W122="","",6-W122)</f>
        <v/>
      </c>
      <c r="AJ122" s="11" t="str">
        <f aca="false">IF(X122="","",6-X122)</f>
        <v/>
      </c>
      <c r="AK122" s="11" t="str">
        <f aca="false">IF(Y122="","",6-Y122)</f>
        <v/>
      </c>
      <c r="AL122" s="11" t="str">
        <f aca="false">IF(COUNT(H122:O122)=8,SUM(H122:O122),"")</f>
        <v/>
      </c>
      <c r="AM122" s="11" t="str">
        <f aca="false">IF(COUNT(P122:U122,AH122:AK122)=10,SUM(P122:U122,AH122:AK122),"")</f>
        <v/>
      </c>
      <c r="AN122" s="11" t="str">
        <f aca="false">IF(COUNT(Z122:AG122)=8,SUM(Z122:AG122),"")</f>
        <v/>
      </c>
      <c r="AO122" s="12" t="str">
        <f aca="false">IF(AL122="","",AL122/8)</f>
        <v/>
      </c>
      <c r="AP122" s="12" t="str">
        <f aca="false">IF(AM122="","",AM122/10)</f>
        <v/>
      </c>
      <c r="AQ122" s="12" t="str">
        <f aca="false">IF(AN122="","",AN122/8)</f>
        <v/>
      </c>
      <c r="AR122" s="11" t="str">
        <f aca="false">IF(A122="","",IF(OR(F122=1,G122=1,AND(E122&lt;&gt;"",E122&lt;=2)),2,IF(AND(E122&gt;=3,G122=2,OR(F122=2,F122=3)),1,"")))</f>
        <v/>
      </c>
      <c r="AS122" s="11" t="str">
        <f aca="false">IF(AR122=1,"טיפוסי",IF(AR122=2,"מתקשה",""))</f>
        <v/>
      </c>
      <c r="AT122" s="12" t="str">
        <f aca="false">IF(AR122=1,AO122,"")</f>
        <v/>
      </c>
      <c r="AU122" s="12" t="str">
        <f aca="false">IF(AR122=2,AO122,"")</f>
        <v/>
      </c>
      <c r="AV122" s="12" t="str">
        <f aca="false">IF(AR122=1,AP122,"")</f>
        <v/>
      </c>
      <c r="AW122" s="12" t="str">
        <f aca="false">IF(AR122=2,AP122,"")</f>
        <v/>
      </c>
      <c r="AX122" s="12" t="str">
        <f aca="false">IF(AR122=1,AQ122,"")</f>
        <v/>
      </c>
      <c r="AY122" s="12" t="str">
        <f aca="false">IF(AR122=2,AQ122,"")</f>
        <v/>
      </c>
    </row>
    <row r="123" customFormat="false" ht="15" hidden="false" customHeight="tru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1" t="str">
        <f aca="false">IF(V123="","",6-V123)</f>
        <v/>
      </c>
      <c r="AI123" s="11" t="str">
        <f aca="false">IF(W123="","",6-W123)</f>
        <v/>
      </c>
      <c r="AJ123" s="11" t="str">
        <f aca="false">IF(X123="","",6-X123)</f>
        <v/>
      </c>
      <c r="AK123" s="11" t="str">
        <f aca="false">IF(Y123="","",6-Y123)</f>
        <v/>
      </c>
      <c r="AL123" s="11" t="str">
        <f aca="false">IF(COUNT(H123:O123)=8,SUM(H123:O123),"")</f>
        <v/>
      </c>
      <c r="AM123" s="11" t="str">
        <f aca="false">IF(COUNT(P123:U123,AH123:AK123)=10,SUM(P123:U123,AH123:AK123),"")</f>
        <v/>
      </c>
      <c r="AN123" s="11" t="str">
        <f aca="false">IF(COUNT(Z123:AG123)=8,SUM(Z123:AG123),"")</f>
        <v/>
      </c>
      <c r="AO123" s="12" t="str">
        <f aca="false">IF(AL123="","",AL123/8)</f>
        <v/>
      </c>
      <c r="AP123" s="12" t="str">
        <f aca="false">IF(AM123="","",AM123/10)</f>
        <v/>
      </c>
      <c r="AQ123" s="12" t="str">
        <f aca="false">IF(AN123="","",AN123/8)</f>
        <v/>
      </c>
      <c r="AR123" s="11" t="str">
        <f aca="false">IF(A123="","",IF(OR(F123=1,G123=1,AND(E123&lt;&gt;"",E123&lt;=2)),2,IF(AND(E123&gt;=3,G123=2,OR(F123=2,F123=3)),1,"")))</f>
        <v/>
      </c>
      <c r="AS123" s="11" t="str">
        <f aca="false">IF(AR123=1,"טיפוסי",IF(AR123=2,"מתקשה",""))</f>
        <v/>
      </c>
      <c r="AT123" s="12" t="str">
        <f aca="false">IF(AR123=1,AO123,"")</f>
        <v/>
      </c>
      <c r="AU123" s="12" t="str">
        <f aca="false">IF(AR123=2,AO123,"")</f>
        <v/>
      </c>
      <c r="AV123" s="12" t="str">
        <f aca="false">IF(AR123=1,AP123,"")</f>
        <v/>
      </c>
      <c r="AW123" s="12" t="str">
        <f aca="false">IF(AR123=2,AP123,"")</f>
        <v/>
      </c>
      <c r="AX123" s="12" t="str">
        <f aca="false">IF(AR123=1,AQ123,"")</f>
        <v/>
      </c>
      <c r="AY123" s="12" t="str">
        <f aca="false">IF(AR123=2,AQ123,"")</f>
        <v/>
      </c>
    </row>
    <row r="124" customFormat="false" ht="15" hidden="false" customHeight="true" outlineLevel="0" collapsed="false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1" t="str">
        <f aca="false">IF(V124="","",6-V124)</f>
        <v/>
      </c>
      <c r="AI124" s="11" t="str">
        <f aca="false">IF(W124="","",6-W124)</f>
        <v/>
      </c>
      <c r="AJ124" s="11" t="str">
        <f aca="false">IF(X124="","",6-X124)</f>
        <v/>
      </c>
      <c r="AK124" s="11" t="str">
        <f aca="false">IF(Y124="","",6-Y124)</f>
        <v/>
      </c>
      <c r="AL124" s="11" t="str">
        <f aca="false">IF(COUNT(H124:O124)=8,SUM(H124:O124),"")</f>
        <v/>
      </c>
      <c r="AM124" s="11" t="str">
        <f aca="false">IF(COUNT(P124:U124,AH124:AK124)=10,SUM(P124:U124,AH124:AK124),"")</f>
        <v/>
      </c>
      <c r="AN124" s="11" t="str">
        <f aca="false">IF(COUNT(Z124:AG124)=8,SUM(Z124:AG124),"")</f>
        <v/>
      </c>
      <c r="AO124" s="12" t="str">
        <f aca="false">IF(AL124="","",AL124/8)</f>
        <v/>
      </c>
      <c r="AP124" s="12" t="str">
        <f aca="false">IF(AM124="","",AM124/10)</f>
        <v/>
      </c>
      <c r="AQ124" s="12" t="str">
        <f aca="false">IF(AN124="","",AN124/8)</f>
        <v/>
      </c>
      <c r="AR124" s="11" t="str">
        <f aca="false">IF(A124="","",IF(OR(F124=1,G124=1,AND(E124&lt;&gt;"",E124&lt;=2)),2,IF(AND(E124&gt;=3,G124=2,OR(F124=2,F124=3)),1,"")))</f>
        <v/>
      </c>
      <c r="AS124" s="11" t="str">
        <f aca="false">IF(AR124=1,"טיפוסי",IF(AR124=2,"מתקשה",""))</f>
        <v/>
      </c>
      <c r="AT124" s="12" t="str">
        <f aca="false">IF(AR124=1,AO124,"")</f>
        <v/>
      </c>
      <c r="AU124" s="12" t="str">
        <f aca="false">IF(AR124=2,AO124,"")</f>
        <v/>
      </c>
      <c r="AV124" s="12" t="str">
        <f aca="false">IF(AR124=1,AP124,"")</f>
        <v/>
      </c>
      <c r="AW124" s="12" t="str">
        <f aca="false">IF(AR124=2,AP124,"")</f>
        <v/>
      </c>
      <c r="AX124" s="12" t="str">
        <f aca="false">IF(AR124=1,AQ124,"")</f>
        <v/>
      </c>
      <c r="AY124" s="12" t="str">
        <f aca="false">IF(AR124=2,AQ124,"")</f>
        <v/>
      </c>
    </row>
    <row r="125" customFormat="false" ht="15" hidden="false" customHeight="tru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1" t="str">
        <f aca="false">IF(V125="","",6-V125)</f>
        <v/>
      </c>
      <c r="AI125" s="11" t="str">
        <f aca="false">IF(W125="","",6-W125)</f>
        <v/>
      </c>
      <c r="AJ125" s="11" t="str">
        <f aca="false">IF(X125="","",6-X125)</f>
        <v/>
      </c>
      <c r="AK125" s="11" t="str">
        <f aca="false">IF(Y125="","",6-Y125)</f>
        <v/>
      </c>
      <c r="AL125" s="11" t="str">
        <f aca="false">IF(COUNT(H125:O125)=8,SUM(H125:O125),"")</f>
        <v/>
      </c>
      <c r="AM125" s="11" t="str">
        <f aca="false">IF(COUNT(P125:U125,AH125:AK125)=10,SUM(P125:U125,AH125:AK125),"")</f>
        <v/>
      </c>
      <c r="AN125" s="11" t="str">
        <f aca="false">IF(COUNT(Z125:AG125)=8,SUM(Z125:AG125),"")</f>
        <v/>
      </c>
      <c r="AO125" s="12" t="str">
        <f aca="false">IF(AL125="","",AL125/8)</f>
        <v/>
      </c>
      <c r="AP125" s="12" t="str">
        <f aca="false">IF(AM125="","",AM125/10)</f>
        <v/>
      </c>
      <c r="AQ125" s="12" t="str">
        <f aca="false">IF(AN125="","",AN125/8)</f>
        <v/>
      </c>
      <c r="AR125" s="11" t="str">
        <f aca="false">IF(A125="","",IF(OR(F125=1,G125=1,AND(E125&lt;&gt;"",E125&lt;=2)),2,IF(AND(E125&gt;=3,G125=2,OR(F125=2,F125=3)),1,"")))</f>
        <v/>
      </c>
      <c r="AS125" s="11" t="str">
        <f aca="false">IF(AR125=1,"טיפוסי",IF(AR125=2,"מתקשה",""))</f>
        <v/>
      </c>
      <c r="AT125" s="12" t="str">
        <f aca="false">IF(AR125=1,AO125,"")</f>
        <v/>
      </c>
      <c r="AU125" s="12" t="str">
        <f aca="false">IF(AR125=2,AO125,"")</f>
        <v/>
      </c>
      <c r="AV125" s="12" t="str">
        <f aca="false">IF(AR125=1,AP125,"")</f>
        <v/>
      </c>
      <c r="AW125" s="12" t="str">
        <f aca="false">IF(AR125=2,AP125,"")</f>
        <v/>
      </c>
      <c r="AX125" s="12" t="str">
        <f aca="false">IF(AR125=1,AQ125,"")</f>
        <v/>
      </c>
      <c r="AY125" s="12" t="str">
        <f aca="false">IF(AR125=2,AQ125,"")</f>
        <v/>
      </c>
    </row>
    <row r="126" customFormat="false" ht="15" hidden="false" customHeight="tru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1" t="str">
        <f aca="false">IF(V126="","",6-V126)</f>
        <v/>
      </c>
      <c r="AI126" s="11" t="str">
        <f aca="false">IF(W126="","",6-W126)</f>
        <v/>
      </c>
      <c r="AJ126" s="11" t="str">
        <f aca="false">IF(X126="","",6-X126)</f>
        <v/>
      </c>
      <c r="AK126" s="11" t="str">
        <f aca="false">IF(Y126="","",6-Y126)</f>
        <v/>
      </c>
      <c r="AL126" s="11" t="str">
        <f aca="false">IF(COUNT(H126:O126)=8,SUM(H126:O126),"")</f>
        <v/>
      </c>
      <c r="AM126" s="11" t="str">
        <f aca="false">IF(COUNT(P126:U126,AH126:AK126)=10,SUM(P126:U126,AH126:AK126),"")</f>
        <v/>
      </c>
      <c r="AN126" s="11" t="str">
        <f aca="false">IF(COUNT(Z126:AG126)=8,SUM(Z126:AG126),"")</f>
        <v/>
      </c>
      <c r="AO126" s="12" t="str">
        <f aca="false">IF(AL126="","",AL126/8)</f>
        <v/>
      </c>
      <c r="AP126" s="12" t="str">
        <f aca="false">IF(AM126="","",AM126/10)</f>
        <v/>
      </c>
      <c r="AQ126" s="12" t="str">
        <f aca="false">IF(AN126="","",AN126/8)</f>
        <v/>
      </c>
      <c r="AR126" s="11" t="str">
        <f aca="false">IF(A126="","",IF(OR(F126=1,G126=1,AND(E126&lt;&gt;"",E126&lt;=2)),2,IF(AND(E126&gt;=3,G126=2,OR(F126=2,F126=3)),1,"")))</f>
        <v/>
      </c>
      <c r="AS126" s="11" t="str">
        <f aca="false">IF(AR126=1,"טיפוסי",IF(AR126=2,"מתקשה",""))</f>
        <v/>
      </c>
      <c r="AT126" s="12" t="str">
        <f aca="false">IF(AR126=1,AO126,"")</f>
        <v/>
      </c>
      <c r="AU126" s="12" t="str">
        <f aca="false">IF(AR126=2,AO126,"")</f>
        <v/>
      </c>
      <c r="AV126" s="12" t="str">
        <f aca="false">IF(AR126=1,AP126,"")</f>
        <v/>
      </c>
      <c r="AW126" s="12" t="str">
        <f aca="false">IF(AR126=2,AP126,"")</f>
        <v/>
      </c>
      <c r="AX126" s="12" t="str">
        <f aca="false">IF(AR126=1,AQ126,"")</f>
        <v/>
      </c>
      <c r="AY126" s="12" t="str">
        <f aca="false">IF(AR126=2,AQ126,"")</f>
        <v/>
      </c>
    </row>
    <row r="127" customFormat="false" ht="15" hidden="false" customHeight="tru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1" t="str">
        <f aca="false">IF(V127="","",6-V127)</f>
        <v/>
      </c>
      <c r="AI127" s="11" t="str">
        <f aca="false">IF(W127="","",6-W127)</f>
        <v/>
      </c>
      <c r="AJ127" s="11" t="str">
        <f aca="false">IF(X127="","",6-X127)</f>
        <v/>
      </c>
      <c r="AK127" s="11" t="str">
        <f aca="false">IF(Y127="","",6-Y127)</f>
        <v/>
      </c>
      <c r="AL127" s="11" t="str">
        <f aca="false">IF(COUNT(H127:O127)=8,SUM(H127:O127),"")</f>
        <v/>
      </c>
      <c r="AM127" s="11" t="str">
        <f aca="false">IF(COUNT(P127:U127,AH127:AK127)=10,SUM(P127:U127,AH127:AK127),"")</f>
        <v/>
      </c>
      <c r="AN127" s="11" t="str">
        <f aca="false">IF(COUNT(Z127:AG127)=8,SUM(Z127:AG127),"")</f>
        <v/>
      </c>
      <c r="AO127" s="12" t="str">
        <f aca="false">IF(AL127="","",AL127/8)</f>
        <v/>
      </c>
      <c r="AP127" s="12" t="str">
        <f aca="false">IF(AM127="","",AM127/10)</f>
        <v/>
      </c>
      <c r="AQ127" s="12" t="str">
        <f aca="false">IF(AN127="","",AN127/8)</f>
        <v/>
      </c>
      <c r="AR127" s="11" t="str">
        <f aca="false">IF(A127="","",IF(OR(F127=1,G127=1,AND(E127&lt;&gt;"",E127&lt;=2)),2,IF(AND(E127&gt;=3,G127=2,OR(F127=2,F127=3)),1,"")))</f>
        <v/>
      </c>
      <c r="AS127" s="11" t="str">
        <f aca="false">IF(AR127=1,"טיפוסי",IF(AR127=2,"מתקשה",""))</f>
        <v/>
      </c>
      <c r="AT127" s="12" t="str">
        <f aca="false">IF(AR127=1,AO127,"")</f>
        <v/>
      </c>
      <c r="AU127" s="12" t="str">
        <f aca="false">IF(AR127=2,AO127,"")</f>
        <v/>
      </c>
      <c r="AV127" s="12" t="str">
        <f aca="false">IF(AR127=1,AP127,"")</f>
        <v/>
      </c>
      <c r="AW127" s="12" t="str">
        <f aca="false">IF(AR127=2,AP127,"")</f>
        <v/>
      </c>
      <c r="AX127" s="12" t="str">
        <f aca="false">IF(AR127=1,AQ127,"")</f>
        <v/>
      </c>
      <c r="AY127" s="12" t="str">
        <f aca="false">IF(AR127=2,AQ127,"")</f>
        <v/>
      </c>
    </row>
    <row r="128" customFormat="false" ht="15" hidden="false" customHeight="tru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1" t="str">
        <f aca="false">IF(V128="","",6-V128)</f>
        <v/>
      </c>
      <c r="AI128" s="11" t="str">
        <f aca="false">IF(W128="","",6-W128)</f>
        <v/>
      </c>
      <c r="AJ128" s="11" t="str">
        <f aca="false">IF(X128="","",6-X128)</f>
        <v/>
      </c>
      <c r="AK128" s="11" t="str">
        <f aca="false">IF(Y128="","",6-Y128)</f>
        <v/>
      </c>
      <c r="AL128" s="11" t="str">
        <f aca="false">IF(COUNT(H128:O128)=8,SUM(H128:O128),"")</f>
        <v/>
      </c>
      <c r="AM128" s="11" t="str">
        <f aca="false">IF(COUNT(P128:U128,AH128:AK128)=10,SUM(P128:U128,AH128:AK128),"")</f>
        <v/>
      </c>
      <c r="AN128" s="11" t="str">
        <f aca="false">IF(COUNT(Z128:AG128)=8,SUM(Z128:AG128),"")</f>
        <v/>
      </c>
      <c r="AO128" s="12" t="str">
        <f aca="false">IF(AL128="","",AL128/8)</f>
        <v/>
      </c>
      <c r="AP128" s="12" t="str">
        <f aca="false">IF(AM128="","",AM128/10)</f>
        <v/>
      </c>
      <c r="AQ128" s="12" t="str">
        <f aca="false">IF(AN128="","",AN128/8)</f>
        <v/>
      </c>
      <c r="AR128" s="11" t="str">
        <f aca="false">IF(A128="","",IF(OR(F128=1,G128=1,AND(E128&lt;&gt;"",E128&lt;=2)),2,IF(AND(E128&gt;=3,G128=2,OR(F128=2,F128=3)),1,"")))</f>
        <v/>
      </c>
      <c r="AS128" s="11" t="str">
        <f aca="false">IF(AR128=1,"טיפוסי",IF(AR128=2,"מתקשה",""))</f>
        <v/>
      </c>
      <c r="AT128" s="12" t="str">
        <f aca="false">IF(AR128=1,AO128,"")</f>
        <v/>
      </c>
      <c r="AU128" s="12" t="str">
        <f aca="false">IF(AR128=2,AO128,"")</f>
        <v/>
      </c>
      <c r="AV128" s="12" t="str">
        <f aca="false">IF(AR128=1,AP128,"")</f>
        <v/>
      </c>
      <c r="AW128" s="12" t="str">
        <f aca="false">IF(AR128=2,AP128,"")</f>
        <v/>
      </c>
      <c r="AX128" s="12" t="str">
        <f aca="false">IF(AR128=1,AQ128,"")</f>
        <v/>
      </c>
      <c r="AY128" s="12" t="str">
        <f aca="false">IF(AR128=2,AQ128,"")</f>
        <v/>
      </c>
    </row>
    <row r="129" customFormat="false" ht="15" hidden="false" customHeight="tru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1" t="str">
        <f aca="false">IF(V129="","",6-V129)</f>
        <v/>
      </c>
      <c r="AI129" s="11" t="str">
        <f aca="false">IF(W129="","",6-W129)</f>
        <v/>
      </c>
      <c r="AJ129" s="11" t="str">
        <f aca="false">IF(X129="","",6-X129)</f>
        <v/>
      </c>
      <c r="AK129" s="11" t="str">
        <f aca="false">IF(Y129="","",6-Y129)</f>
        <v/>
      </c>
      <c r="AL129" s="11" t="str">
        <f aca="false">IF(COUNT(H129:O129)=8,SUM(H129:O129),"")</f>
        <v/>
      </c>
      <c r="AM129" s="11" t="str">
        <f aca="false">IF(COUNT(P129:U129,AH129:AK129)=10,SUM(P129:U129,AH129:AK129),"")</f>
        <v/>
      </c>
      <c r="AN129" s="11" t="str">
        <f aca="false">IF(COUNT(Z129:AG129)=8,SUM(Z129:AG129),"")</f>
        <v/>
      </c>
      <c r="AO129" s="12" t="str">
        <f aca="false">IF(AL129="","",AL129/8)</f>
        <v/>
      </c>
      <c r="AP129" s="12" t="str">
        <f aca="false">IF(AM129="","",AM129/10)</f>
        <v/>
      </c>
      <c r="AQ129" s="12" t="str">
        <f aca="false">IF(AN129="","",AN129/8)</f>
        <v/>
      </c>
      <c r="AR129" s="11" t="str">
        <f aca="false">IF(A129="","",IF(OR(F129=1,G129=1,AND(E129&lt;&gt;"",E129&lt;=2)),2,IF(AND(E129&gt;=3,G129=2,OR(F129=2,F129=3)),1,"")))</f>
        <v/>
      </c>
      <c r="AS129" s="11" t="str">
        <f aca="false">IF(AR129=1,"טיפוסי",IF(AR129=2,"מתקשה",""))</f>
        <v/>
      </c>
      <c r="AT129" s="12" t="str">
        <f aca="false">IF(AR129=1,AO129,"")</f>
        <v/>
      </c>
      <c r="AU129" s="12" t="str">
        <f aca="false">IF(AR129=2,AO129,"")</f>
        <v/>
      </c>
      <c r="AV129" s="12" t="str">
        <f aca="false">IF(AR129=1,AP129,"")</f>
        <v/>
      </c>
      <c r="AW129" s="12" t="str">
        <f aca="false">IF(AR129=2,AP129,"")</f>
        <v/>
      </c>
      <c r="AX129" s="12" t="str">
        <f aca="false">IF(AR129=1,AQ129,"")</f>
        <v/>
      </c>
      <c r="AY129" s="12" t="str">
        <f aca="false">IF(AR129=2,AQ129,"")</f>
        <v/>
      </c>
    </row>
    <row r="130" customFormat="false" ht="15" hidden="false" customHeight="tru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1" t="str">
        <f aca="false">IF(V130="","",6-V130)</f>
        <v/>
      </c>
      <c r="AI130" s="11" t="str">
        <f aca="false">IF(W130="","",6-W130)</f>
        <v/>
      </c>
      <c r="AJ130" s="11" t="str">
        <f aca="false">IF(X130="","",6-X130)</f>
        <v/>
      </c>
      <c r="AK130" s="11" t="str">
        <f aca="false">IF(Y130="","",6-Y130)</f>
        <v/>
      </c>
      <c r="AL130" s="11" t="str">
        <f aca="false">IF(COUNT(H130:O130)=8,SUM(H130:O130),"")</f>
        <v/>
      </c>
      <c r="AM130" s="11" t="str">
        <f aca="false">IF(COUNT(P130:U130,AH130:AK130)=10,SUM(P130:U130,AH130:AK130),"")</f>
        <v/>
      </c>
      <c r="AN130" s="11" t="str">
        <f aca="false">IF(COUNT(Z130:AG130)=8,SUM(Z130:AG130),"")</f>
        <v/>
      </c>
      <c r="AO130" s="12" t="str">
        <f aca="false">IF(AL130="","",AL130/8)</f>
        <v/>
      </c>
      <c r="AP130" s="12" t="str">
        <f aca="false">IF(AM130="","",AM130/10)</f>
        <v/>
      </c>
      <c r="AQ130" s="12" t="str">
        <f aca="false">IF(AN130="","",AN130/8)</f>
        <v/>
      </c>
      <c r="AR130" s="11" t="str">
        <f aca="false">IF(A130="","",IF(OR(F130=1,G130=1,AND(E130&lt;&gt;"",E130&lt;=2)),2,IF(AND(E130&gt;=3,G130=2,OR(F130=2,F130=3)),1,"")))</f>
        <v/>
      </c>
      <c r="AS130" s="11" t="str">
        <f aca="false">IF(AR130=1,"טיפוסי",IF(AR130=2,"מתקשה",""))</f>
        <v/>
      </c>
      <c r="AT130" s="12" t="str">
        <f aca="false">IF(AR130=1,AO130,"")</f>
        <v/>
      </c>
      <c r="AU130" s="12" t="str">
        <f aca="false">IF(AR130=2,AO130,"")</f>
        <v/>
      </c>
      <c r="AV130" s="12" t="str">
        <f aca="false">IF(AR130=1,AP130,"")</f>
        <v/>
      </c>
      <c r="AW130" s="12" t="str">
        <f aca="false">IF(AR130=2,AP130,"")</f>
        <v/>
      </c>
      <c r="AX130" s="12" t="str">
        <f aca="false">IF(AR130=1,AQ130,"")</f>
        <v/>
      </c>
      <c r="AY130" s="12" t="str">
        <f aca="false">IF(AR130=2,AQ130,"")</f>
        <v/>
      </c>
    </row>
    <row r="131" customFormat="false" ht="15" hidden="false" customHeight="tru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1" t="str">
        <f aca="false">IF(V131="","",6-V131)</f>
        <v/>
      </c>
      <c r="AI131" s="11" t="str">
        <f aca="false">IF(W131="","",6-W131)</f>
        <v/>
      </c>
      <c r="AJ131" s="11" t="str">
        <f aca="false">IF(X131="","",6-X131)</f>
        <v/>
      </c>
      <c r="AK131" s="11" t="str">
        <f aca="false">IF(Y131="","",6-Y131)</f>
        <v/>
      </c>
      <c r="AL131" s="11" t="str">
        <f aca="false">IF(COUNT(H131:O131)=8,SUM(H131:O131),"")</f>
        <v/>
      </c>
      <c r="AM131" s="11" t="str">
        <f aca="false">IF(COUNT(P131:U131,AH131:AK131)=10,SUM(P131:U131,AH131:AK131),"")</f>
        <v/>
      </c>
      <c r="AN131" s="11" t="str">
        <f aca="false">IF(COUNT(Z131:AG131)=8,SUM(Z131:AG131),"")</f>
        <v/>
      </c>
      <c r="AO131" s="12" t="str">
        <f aca="false">IF(AL131="","",AL131/8)</f>
        <v/>
      </c>
      <c r="AP131" s="12" t="str">
        <f aca="false">IF(AM131="","",AM131/10)</f>
        <v/>
      </c>
      <c r="AQ131" s="12" t="str">
        <f aca="false">IF(AN131="","",AN131/8)</f>
        <v/>
      </c>
      <c r="AR131" s="11" t="str">
        <f aca="false">IF(A131="","",IF(OR(F131=1,G131=1,AND(E131&lt;&gt;"",E131&lt;=2)),2,IF(AND(E131&gt;=3,G131=2,OR(F131=2,F131=3)),1,"")))</f>
        <v/>
      </c>
      <c r="AS131" s="11" t="str">
        <f aca="false">IF(AR131=1,"טיפוסי",IF(AR131=2,"מתקשה",""))</f>
        <v/>
      </c>
      <c r="AT131" s="12" t="str">
        <f aca="false">IF(AR131=1,AO131,"")</f>
        <v/>
      </c>
      <c r="AU131" s="12" t="str">
        <f aca="false">IF(AR131=2,AO131,"")</f>
        <v/>
      </c>
      <c r="AV131" s="12" t="str">
        <f aca="false">IF(AR131=1,AP131,"")</f>
        <v/>
      </c>
      <c r="AW131" s="12" t="str">
        <f aca="false">IF(AR131=2,AP131,"")</f>
        <v/>
      </c>
      <c r="AX131" s="12" t="str">
        <f aca="false">IF(AR131=1,AQ131,"")</f>
        <v/>
      </c>
      <c r="AY131" s="12" t="str">
        <f aca="false">IF(AR131=2,AQ131,"")</f>
        <v/>
      </c>
    </row>
    <row r="132" customFormat="false" ht="15" hidden="false" customHeight="tru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1" t="str">
        <f aca="false">IF(V132="","",6-V132)</f>
        <v/>
      </c>
      <c r="AI132" s="11" t="str">
        <f aca="false">IF(W132="","",6-W132)</f>
        <v/>
      </c>
      <c r="AJ132" s="11" t="str">
        <f aca="false">IF(X132="","",6-X132)</f>
        <v/>
      </c>
      <c r="AK132" s="11" t="str">
        <f aca="false">IF(Y132="","",6-Y132)</f>
        <v/>
      </c>
      <c r="AL132" s="11" t="str">
        <f aca="false">IF(COUNT(H132:O132)=8,SUM(H132:O132),"")</f>
        <v/>
      </c>
      <c r="AM132" s="11" t="str">
        <f aca="false">IF(COUNT(P132:U132,AH132:AK132)=10,SUM(P132:U132,AH132:AK132),"")</f>
        <v/>
      </c>
      <c r="AN132" s="11" t="str">
        <f aca="false">IF(COUNT(Z132:AG132)=8,SUM(Z132:AG132),"")</f>
        <v/>
      </c>
      <c r="AO132" s="12" t="str">
        <f aca="false">IF(AL132="","",AL132/8)</f>
        <v/>
      </c>
      <c r="AP132" s="12" t="str">
        <f aca="false">IF(AM132="","",AM132/10)</f>
        <v/>
      </c>
      <c r="AQ132" s="12" t="str">
        <f aca="false">IF(AN132="","",AN132/8)</f>
        <v/>
      </c>
      <c r="AR132" s="11" t="str">
        <f aca="false">IF(A132="","",IF(OR(F132=1,G132=1,AND(E132&lt;&gt;"",E132&lt;=2)),2,IF(AND(E132&gt;=3,G132=2,OR(F132=2,F132=3)),1,"")))</f>
        <v/>
      </c>
      <c r="AS132" s="11" t="str">
        <f aca="false">IF(AR132=1,"טיפוסי",IF(AR132=2,"מתקשה",""))</f>
        <v/>
      </c>
      <c r="AT132" s="12" t="str">
        <f aca="false">IF(AR132=1,AO132,"")</f>
        <v/>
      </c>
      <c r="AU132" s="12" t="str">
        <f aca="false">IF(AR132=2,AO132,"")</f>
        <v/>
      </c>
      <c r="AV132" s="12" t="str">
        <f aca="false">IF(AR132=1,AP132,"")</f>
        <v/>
      </c>
      <c r="AW132" s="12" t="str">
        <f aca="false">IF(AR132=2,AP132,"")</f>
        <v/>
      </c>
      <c r="AX132" s="12" t="str">
        <f aca="false">IF(AR132=1,AQ132,"")</f>
        <v/>
      </c>
      <c r="AY132" s="12" t="str">
        <f aca="false">IF(AR132=2,AQ132,"")</f>
        <v/>
      </c>
    </row>
    <row r="133" customFormat="false" ht="15" hidden="false" customHeight="tru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1" t="str">
        <f aca="false">IF(V133="","",6-V133)</f>
        <v/>
      </c>
      <c r="AI133" s="11" t="str">
        <f aca="false">IF(W133="","",6-W133)</f>
        <v/>
      </c>
      <c r="AJ133" s="11" t="str">
        <f aca="false">IF(X133="","",6-X133)</f>
        <v/>
      </c>
      <c r="AK133" s="11" t="str">
        <f aca="false">IF(Y133="","",6-Y133)</f>
        <v/>
      </c>
      <c r="AL133" s="11" t="str">
        <f aca="false">IF(COUNT(H133:O133)=8,SUM(H133:O133),"")</f>
        <v/>
      </c>
      <c r="AM133" s="11" t="str">
        <f aca="false">IF(COUNT(P133:U133,AH133:AK133)=10,SUM(P133:U133,AH133:AK133),"")</f>
        <v/>
      </c>
      <c r="AN133" s="11" t="str">
        <f aca="false">IF(COUNT(Z133:AG133)=8,SUM(Z133:AG133),"")</f>
        <v/>
      </c>
      <c r="AO133" s="12" t="str">
        <f aca="false">IF(AL133="","",AL133/8)</f>
        <v/>
      </c>
      <c r="AP133" s="12" t="str">
        <f aca="false">IF(AM133="","",AM133/10)</f>
        <v/>
      </c>
      <c r="AQ133" s="12" t="str">
        <f aca="false">IF(AN133="","",AN133/8)</f>
        <v/>
      </c>
      <c r="AR133" s="11" t="str">
        <f aca="false">IF(A133="","",IF(OR(F133=1,G133=1,AND(E133&lt;&gt;"",E133&lt;=2)),2,IF(AND(E133&gt;=3,G133=2,OR(F133=2,F133=3)),1,"")))</f>
        <v/>
      </c>
      <c r="AS133" s="11" t="str">
        <f aca="false">IF(AR133=1,"טיפוסי",IF(AR133=2,"מתקשה",""))</f>
        <v/>
      </c>
      <c r="AT133" s="12" t="str">
        <f aca="false">IF(AR133=1,AO133,"")</f>
        <v/>
      </c>
      <c r="AU133" s="12" t="str">
        <f aca="false">IF(AR133=2,AO133,"")</f>
        <v/>
      </c>
      <c r="AV133" s="12" t="str">
        <f aca="false">IF(AR133=1,AP133,"")</f>
        <v/>
      </c>
      <c r="AW133" s="12" t="str">
        <f aca="false">IF(AR133=2,AP133,"")</f>
        <v/>
      </c>
      <c r="AX133" s="12" t="str">
        <f aca="false">IF(AR133=1,AQ133,"")</f>
        <v/>
      </c>
      <c r="AY133" s="12" t="str">
        <f aca="false">IF(AR133=2,AQ133,"")</f>
        <v/>
      </c>
    </row>
    <row r="134" customFormat="false" ht="15" hidden="false" customHeight="true" outlineLevel="0" collapsed="false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1" t="str">
        <f aca="false">IF(V134="","",6-V134)</f>
        <v/>
      </c>
      <c r="AI134" s="11" t="str">
        <f aca="false">IF(W134="","",6-W134)</f>
        <v/>
      </c>
      <c r="AJ134" s="11" t="str">
        <f aca="false">IF(X134="","",6-X134)</f>
        <v/>
      </c>
      <c r="AK134" s="11" t="str">
        <f aca="false">IF(Y134="","",6-Y134)</f>
        <v/>
      </c>
      <c r="AL134" s="11" t="str">
        <f aca="false">IF(COUNT(H134:O134)=8,SUM(H134:O134),"")</f>
        <v/>
      </c>
      <c r="AM134" s="11" t="str">
        <f aca="false">IF(COUNT(P134:U134,AH134:AK134)=10,SUM(P134:U134,AH134:AK134),"")</f>
        <v/>
      </c>
      <c r="AN134" s="11" t="str">
        <f aca="false">IF(COUNT(Z134:AG134)=8,SUM(Z134:AG134),"")</f>
        <v/>
      </c>
      <c r="AO134" s="12" t="str">
        <f aca="false">IF(AL134="","",AL134/8)</f>
        <v/>
      </c>
      <c r="AP134" s="12" t="str">
        <f aca="false">IF(AM134="","",AM134/10)</f>
        <v/>
      </c>
      <c r="AQ134" s="12" t="str">
        <f aca="false">IF(AN134="","",AN134/8)</f>
        <v/>
      </c>
      <c r="AR134" s="11" t="str">
        <f aca="false">IF(A134="","",IF(OR(F134=1,G134=1,AND(E134&lt;&gt;"",E134&lt;=2)),2,IF(AND(E134&gt;=3,G134=2,OR(F134=2,F134=3)),1,"")))</f>
        <v/>
      </c>
      <c r="AS134" s="11" t="str">
        <f aca="false">IF(AR134=1,"טיפוסי",IF(AR134=2,"מתקשה",""))</f>
        <v/>
      </c>
      <c r="AT134" s="12" t="str">
        <f aca="false">IF(AR134=1,AO134,"")</f>
        <v/>
      </c>
      <c r="AU134" s="12" t="str">
        <f aca="false">IF(AR134=2,AO134,"")</f>
        <v/>
      </c>
      <c r="AV134" s="12" t="str">
        <f aca="false">IF(AR134=1,AP134,"")</f>
        <v/>
      </c>
      <c r="AW134" s="12" t="str">
        <f aca="false">IF(AR134=2,AP134,"")</f>
        <v/>
      </c>
      <c r="AX134" s="12" t="str">
        <f aca="false">IF(AR134=1,AQ134,"")</f>
        <v/>
      </c>
      <c r="AY134" s="12" t="str">
        <f aca="false">IF(AR134=2,AQ134,"")</f>
        <v/>
      </c>
    </row>
    <row r="135" customFormat="false" ht="15" hidden="false" customHeight="tru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1" t="str">
        <f aca="false">IF(V135="","",6-V135)</f>
        <v/>
      </c>
      <c r="AI135" s="11" t="str">
        <f aca="false">IF(W135="","",6-W135)</f>
        <v/>
      </c>
      <c r="AJ135" s="11" t="str">
        <f aca="false">IF(X135="","",6-X135)</f>
        <v/>
      </c>
      <c r="AK135" s="11" t="str">
        <f aca="false">IF(Y135="","",6-Y135)</f>
        <v/>
      </c>
      <c r="AL135" s="11" t="str">
        <f aca="false">IF(COUNT(H135:O135)=8,SUM(H135:O135),"")</f>
        <v/>
      </c>
      <c r="AM135" s="11" t="str">
        <f aca="false">IF(COUNT(P135:U135,AH135:AK135)=10,SUM(P135:U135,AH135:AK135),"")</f>
        <v/>
      </c>
      <c r="AN135" s="11" t="str">
        <f aca="false">IF(COUNT(Z135:AG135)=8,SUM(Z135:AG135),"")</f>
        <v/>
      </c>
      <c r="AO135" s="12" t="str">
        <f aca="false">IF(AL135="","",AL135/8)</f>
        <v/>
      </c>
      <c r="AP135" s="12" t="str">
        <f aca="false">IF(AM135="","",AM135/10)</f>
        <v/>
      </c>
      <c r="AQ135" s="12" t="str">
        <f aca="false">IF(AN135="","",AN135/8)</f>
        <v/>
      </c>
      <c r="AR135" s="11" t="str">
        <f aca="false">IF(A135="","",IF(OR(F135=1,G135=1,AND(E135&lt;&gt;"",E135&lt;=2)),2,IF(AND(E135&gt;=3,G135=2,OR(F135=2,F135=3)),1,"")))</f>
        <v/>
      </c>
      <c r="AS135" s="11" t="str">
        <f aca="false">IF(AR135=1,"טיפוסי",IF(AR135=2,"מתקשה",""))</f>
        <v/>
      </c>
      <c r="AT135" s="12" t="str">
        <f aca="false">IF(AR135=1,AO135,"")</f>
        <v/>
      </c>
      <c r="AU135" s="12" t="str">
        <f aca="false">IF(AR135=2,AO135,"")</f>
        <v/>
      </c>
      <c r="AV135" s="12" t="str">
        <f aca="false">IF(AR135=1,AP135,"")</f>
        <v/>
      </c>
      <c r="AW135" s="12" t="str">
        <f aca="false">IF(AR135=2,AP135,"")</f>
        <v/>
      </c>
      <c r="AX135" s="12" t="str">
        <f aca="false">IF(AR135=1,AQ135,"")</f>
        <v/>
      </c>
      <c r="AY135" s="12" t="str">
        <f aca="false">IF(AR135=2,AQ135,"")</f>
        <v/>
      </c>
    </row>
    <row r="136" customFormat="false" ht="15" hidden="false" customHeight="tru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1" t="str">
        <f aca="false">IF(V136="","",6-V136)</f>
        <v/>
      </c>
      <c r="AI136" s="11" t="str">
        <f aca="false">IF(W136="","",6-W136)</f>
        <v/>
      </c>
      <c r="AJ136" s="11" t="str">
        <f aca="false">IF(X136="","",6-X136)</f>
        <v/>
      </c>
      <c r="AK136" s="11" t="str">
        <f aca="false">IF(Y136="","",6-Y136)</f>
        <v/>
      </c>
      <c r="AL136" s="11" t="str">
        <f aca="false">IF(COUNT(H136:O136)=8,SUM(H136:O136),"")</f>
        <v/>
      </c>
      <c r="AM136" s="11" t="str">
        <f aca="false">IF(COUNT(P136:U136,AH136:AK136)=10,SUM(P136:U136,AH136:AK136),"")</f>
        <v/>
      </c>
      <c r="AN136" s="11" t="str">
        <f aca="false">IF(COUNT(Z136:AG136)=8,SUM(Z136:AG136),"")</f>
        <v/>
      </c>
      <c r="AO136" s="12" t="str">
        <f aca="false">IF(AL136="","",AL136/8)</f>
        <v/>
      </c>
      <c r="AP136" s="12" t="str">
        <f aca="false">IF(AM136="","",AM136/10)</f>
        <v/>
      </c>
      <c r="AQ136" s="12" t="str">
        <f aca="false">IF(AN136="","",AN136/8)</f>
        <v/>
      </c>
      <c r="AR136" s="11" t="str">
        <f aca="false">IF(A136="","",IF(OR(F136=1,G136=1,AND(E136&lt;&gt;"",E136&lt;=2)),2,IF(AND(E136&gt;=3,G136=2,OR(F136=2,F136=3)),1,"")))</f>
        <v/>
      </c>
      <c r="AS136" s="11" t="str">
        <f aca="false">IF(AR136=1,"טיפוסי",IF(AR136=2,"מתקשה",""))</f>
        <v/>
      </c>
      <c r="AT136" s="12" t="str">
        <f aca="false">IF(AR136=1,AO136,"")</f>
        <v/>
      </c>
      <c r="AU136" s="12" t="str">
        <f aca="false">IF(AR136=2,AO136,"")</f>
        <v/>
      </c>
      <c r="AV136" s="12" t="str">
        <f aca="false">IF(AR136=1,AP136,"")</f>
        <v/>
      </c>
      <c r="AW136" s="12" t="str">
        <f aca="false">IF(AR136=2,AP136,"")</f>
        <v/>
      </c>
      <c r="AX136" s="12" t="str">
        <f aca="false">IF(AR136=1,AQ136,"")</f>
        <v/>
      </c>
      <c r="AY136" s="12" t="str">
        <f aca="false">IF(AR136=2,AQ136,"")</f>
        <v/>
      </c>
    </row>
    <row r="137" customFormat="false" ht="15" hidden="false" customHeight="tru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1" t="str">
        <f aca="false">IF(V137="","",6-V137)</f>
        <v/>
      </c>
      <c r="AI137" s="11" t="str">
        <f aca="false">IF(W137="","",6-W137)</f>
        <v/>
      </c>
      <c r="AJ137" s="11" t="str">
        <f aca="false">IF(X137="","",6-X137)</f>
        <v/>
      </c>
      <c r="AK137" s="11" t="str">
        <f aca="false">IF(Y137="","",6-Y137)</f>
        <v/>
      </c>
      <c r="AL137" s="11" t="str">
        <f aca="false">IF(COUNT(H137:O137)=8,SUM(H137:O137),"")</f>
        <v/>
      </c>
      <c r="AM137" s="11" t="str">
        <f aca="false">IF(COUNT(P137:U137,AH137:AK137)=10,SUM(P137:U137,AH137:AK137),"")</f>
        <v/>
      </c>
      <c r="AN137" s="11" t="str">
        <f aca="false">IF(COUNT(Z137:AG137)=8,SUM(Z137:AG137),"")</f>
        <v/>
      </c>
      <c r="AO137" s="12" t="str">
        <f aca="false">IF(AL137="","",AL137/8)</f>
        <v/>
      </c>
      <c r="AP137" s="12" t="str">
        <f aca="false">IF(AM137="","",AM137/10)</f>
        <v/>
      </c>
      <c r="AQ137" s="12" t="str">
        <f aca="false">IF(AN137="","",AN137/8)</f>
        <v/>
      </c>
      <c r="AR137" s="11" t="str">
        <f aca="false">IF(A137="","",IF(OR(F137=1,G137=1,AND(E137&lt;&gt;"",E137&lt;=2)),2,IF(AND(E137&gt;=3,G137=2,OR(F137=2,F137=3)),1,"")))</f>
        <v/>
      </c>
      <c r="AS137" s="11" t="str">
        <f aca="false">IF(AR137=1,"טיפוסי",IF(AR137=2,"מתקשה",""))</f>
        <v/>
      </c>
      <c r="AT137" s="12" t="str">
        <f aca="false">IF(AR137=1,AO137,"")</f>
        <v/>
      </c>
      <c r="AU137" s="12" t="str">
        <f aca="false">IF(AR137=2,AO137,"")</f>
        <v/>
      </c>
      <c r="AV137" s="12" t="str">
        <f aca="false">IF(AR137=1,AP137,"")</f>
        <v/>
      </c>
      <c r="AW137" s="12" t="str">
        <f aca="false">IF(AR137=2,AP137,"")</f>
        <v/>
      </c>
      <c r="AX137" s="12" t="str">
        <f aca="false">IF(AR137=1,AQ137,"")</f>
        <v/>
      </c>
      <c r="AY137" s="12" t="str">
        <f aca="false">IF(AR137=2,AQ137,"")</f>
        <v/>
      </c>
    </row>
    <row r="138" customFormat="false" ht="15" hidden="false" customHeight="tru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1" t="str">
        <f aca="false">IF(V138="","",6-V138)</f>
        <v/>
      </c>
      <c r="AI138" s="11" t="str">
        <f aca="false">IF(W138="","",6-W138)</f>
        <v/>
      </c>
      <c r="AJ138" s="11" t="str">
        <f aca="false">IF(X138="","",6-X138)</f>
        <v/>
      </c>
      <c r="AK138" s="11" t="str">
        <f aca="false">IF(Y138="","",6-Y138)</f>
        <v/>
      </c>
      <c r="AL138" s="11" t="str">
        <f aca="false">IF(COUNT(H138:O138)=8,SUM(H138:O138),"")</f>
        <v/>
      </c>
      <c r="AM138" s="11" t="str">
        <f aca="false">IF(COUNT(P138:U138,AH138:AK138)=10,SUM(P138:U138,AH138:AK138),"")</f>
        <v/>
      </c>
      <c r="AN138" s="11" t="str">
        <f aca="false">IF(COUNT(Z138:AG138)=8,SUM(Z138:AG138),"")</f>
        <v/>
      </c>
      <c r="AO138" s="12" t="str">
        <f aca="false">IF(AL138="","",AL138/8)</f>
        <v/>
      </c>
      <c r="AP138" s="12" t="str">
        <f aca="false">IF(AM138="","",AM138/10)</f>
        <v/>
      </c>
      <c r="AQ138" s="12" t="str">
        <f aca="false">IF(AN138="","",AN138/8)</f>
        <v/>
      </c>
      <c r="AR138" s="11" t="str">
        <f aca="false">IF(A138="","",IF(OR(F138=1,G138=1,AND(E138&lt;&gt;"",E138&lt;=2)),2,IF(AND(E138&gt;=3,G138=2,OR(F138=2,F138=3)),1,"")))</f>
        <v/>
      </c>
      <c r="AS138" s="11" t="str">
        <f aca="false">IF(AR138=1,"טיפוסי",IF(AR138=2,"מתקשה",""))</f>
        <v/>
      </c>
      <c r="AT138" s="12" t="str">
        <f aca="false">IF(AR138=1,AO138,"")</f>
        <v/>
      </c>
      <c r="AU138" s="12" t="str">
        <f aca="false">IF(AR138=2,AO138,"")</f>
        <v/>
      </c>
      <c r="AV138" s="12" t="str">
        <f aca="false">IF(AR138=1,AP138,"")</f>
        <v/>
      </c>
      <c r="AW138" s="12" t="str">
        <f aca="false">IF(AR138=2,AP138,"")</f>
        <v/>
      </c>
      <c r="AX138" s="12" t="str">
        <f aca="false">IF(AR138=1,AQ138,"")</f>
        <v/>
      </c>
      <c r="AY138" s="12" t="str">
        <f aca="false">IF(AR138=2,AQ138,"")</f>
        <v/>
      </c>
    </row>
    <row r="139" customFormat="false" ht="15" hidden="false" customHeight="tru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1" t="str">
        <f aca="false">IF(V139="","",6-V139)</f>
        <v/>
      </c>
      <c r="AI139" s="11" t="str">
        <f aca="false">IF(W139="","",6-W139)</f>
        <v/>
      </c>
      <c r="AJ139" s="11" t="str">
        <f aca="false">IF(X139="","",6-X139)</f>
        <v/>
      </c>
      <c r="AK139" s="11" t="str">
        <f aca="false">IF(Y139="","",6-Y139)</f>
        <v/>
      </c>
      <c r="AL139" s="11" t="str">
        <f aca="false">IF(COUNT(H139:O139)=8,SUM(H139:O139),"")</f>
        <v/>
      </c>
      <c r="AM139" s="11" t="str">
        <f aca="false">IF(COUNT(P139:U139,AH139:AK139)=10,SUM(P139:U139,AH139:AK139),"")</f>
        <v/>
      </c>
      <c r="AN139" s="11" t="str">
        <f aca="false">IF(COUNT(Z139:AG139)=8,SUM(Z139:AG139),"")</f>
        <v/>
      </c>
      <c r="AO139" s="12" t="str">
        <f aca="false">IF(AL139="","",AL139/8)</f>
        <v/>
      </c>
      <c r="AP139" s="12" t="str">
        <f aca="false">IF(AM139="","",AM139/10)</f>
        <v/>
      </c>
      <c r="AQ139" s="12" t="str">
        <f aca="false">IF(AN139="","",AN139/8)</f>
        <v/>
      </c>
      <c r="AR139" s="11" t="str">
        <f aca="false">IF(A139="","",IF(OR(F139=1,G139=1,AND(E139&lt;&gt;"",E139&lt;=2)),2,IF(AND(E139&gt;=3,G139=2,OR(F139=2,F139=3)),1,"")))</f>
        <v/>
      </c>
      <c r="AS139" s="11" t="str">
        <f aca="false">IF(AR139=1,"טיפוסי",IF(AR139=2,"מתקשה",""))</f>
        <v/>
      </c>
      <c r="AT139" s="12" t="str">
        <f aca="false">IF(AR139=1,AO139,"")</f>
        <v/>
      </c>
      <c r="AU139" s="12" t="str">
        <f aca="false">IF(AR139=2,AO139,"")</f>
        <v/>
      </c>
      <c r="AV139" s="12" t="str">
        <f aca="false">IF(AR139=1,AP139,"")</f>
        <v/>
      </c>
      <c r="AW139" s="12" t="str">
        <f aca="false">IF(AR139=2,AP139,"")</f>
        <v/>
      </c>
      <c r="AX139" s="12" t="str">
        <f aca="false">IF(AR139=1,AQ139,"")</f>
        <v/>
      </c>
      <c r="AY139" s="12" t="str">
        <f aca="false">IF(AR139=2,AQ139,"")</f>
        <v/>
      </c>
    </row>
    <row r="140" customFormat="false" ht="15" hidden="false" customHeight="tru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1" t="str">
        <f aca="false">IF(V140="","",6-V140)</f>
        <v/>
      </c>
      <c r="AI140" s="11" t="str">
        <f aca="false">IF(W140="","",6-W140)</f>
        <v/>
      </c>
      <c r="AJ140" s="11" t="str">
        <f aca="false">IF(X140="","",6-X140)</f>
        <v/>
      </c>
      <c r="AK140" s="11" t="str">
        <f aca="false">IF(Y140="","",6-Y140)</f>
        <v/>
      </c>
      <c r="AL140" s="11" t="str">
        <f aca="false">IF(COUNT(H140:O140)=8,SUM(H140:O140),"")</f>
        <v/>
      </c>
      <c r="AM140" s="11" t="str">
        <f aca="false">IF(COUNT(P140:U140,AH140:AK140)=10,SUM(P140:U140,AH140:AK140),"")</f>
        <v/>
      </c>
      <c r="AN140" s="11" t="str">
        <f aca="false">IF(COUNT(Z140:AG140)=8,SUM(Z140:AG140),"")</f>
        <v/>
      </c>
      <c r="AO140" s="12" t="str">
        <f aca="false">IF(AL140="","",AL140/8)</f>
        <v/>
      </c>
      <c r="AP140" s="12" t="str">
        <f aca="false">IF(AM140="","",AM140/10)</f>
        <v/>
      </c>
      <c r="AQ140" s="12" t="str">
        <f aca="false">IF(AN140="","",AN140/8)</f>
        <v/>
      </c>
      <c r="AR140" s="11" t="str">
        <f aca="false">IF(A140="","",IF(OR(F140=1,G140=1,AND(E140&lt;&gt;"",E140&lt;=2)),2,IF(AND(E140&gt;=3,G140=2,OR(F140=2,F140=3)),1,"")))</f>
        <v/>
      </c>
      <c r="AS140" s="11" t="str">
        <f aca="false">IF(AR140=1,"טיפוסי",IF(AR140=2,"מתקשה",""))</f>
        <v/>
      </c>
      <c r="AT140" s="12" t="str">
        <f aca="false">IF(AR140=1,AO140,"")</f>
        <v/>
      </c>
      <c r="AU140" s="12" t="str">
        <f aca="false">IF(AR140=2,AO140,"")</f>
        <v/>
      </c>
      <c r="AV140" s="12" t="str">
        <f aca="false">IF(AR140=1,AP140,"")</f>
        <v/>
      </c>
      <c r="AW140" s="12" t="str">
        <f aca="false">IF(AR140=2,AP140,"")</f>
        <v/>
      </c>
      <c r="AX140" s="12" t="str">
        <f aca="false">IF(AR140=1,AQ140,"")</f>
        <v/>
      </c>
      <c r="AY140" s="12" t="str">
        <f aca="false">IF(AR140=2,AQ140,"")</f>
        <v/>
      </c>
    </row>
    <row r="141" customFormat="false" ht="15" hidden="false" customHeight="tru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1" t="str">
        <f aca="false">IF(V141="","",6-V141)</f>
        <v/>
      </c>
      <c r="AI141" s="11" t="str">
        <f aca="false">IF(W141="","",6-W141)</f>
        <v/>
      </c>
      <c r="AJ141" s="11" t="str">
        <f aca="false">IF(X141="","",6-X141)</f>
        <v/>
      </c>
      <c r="AK141" s="11" t="str">
        <f aca="false">IF(Y141="","",6-Y141)</f>
        <v/>
      </c>
      <c r="AL141" s="11" t="str">
        <f aca="false">IF(COUNT(H141:O141)=8,SUM(H141:O141),"")</f>
        <v/>
      </c>
      <c r="AM141" s="11" t="str">
        <f aca="false">IF(COUNT(P141:U141,AH141:AK141)=10,SUM(P141:U141,AH141:AK141),"")</f>
        <v/>
      </c>
      <c r="AN141" s="11" t="str">
        <f aca="false">IF(COUNT(Z141:AG141)=8,SUM(Z141:AG141),"")</f>
        <v/>
      </c>
      <c r="AO141" s="12" t="str">
        <f aca="false">IF(AL141="","",AL141/8)</f>
        <v/>
      </c>
      <c r="AP141" s="12" t="str">
        <f aca="false">IF(AM141="","",AM141/10)</f>
        <v/>
      </c>
      <c r="AQ141" s="12" t="str">
        <f aca="false">IF(AN141="","",AN141/8)</f>
        <v/>
      </c>
      <c r="AR141" s="11" t="str">
        <f aca="false">IF(A141="","",IF(OR(F141=1,G141=1,AND(E141&lt;&gt;"",E141&lt;=2)),2,IF(AND(E141&gt;=3,G141=2,OR(F141=2,F141=3)),1,"")))</f>
        <v/>
      </c>
      <c r="AS141" s="11" t="str">
        <f aca="false">IF(AR141=1,"טיפוסי",IF(AR141=2,"מתקשה",""))</f>
        <v/>
      </c>
      <c r="AT141" s="12" t="str">
        <f aca="false">IF(AR141=1,AO141,"")</f>
        <v/>
      </c>
      <c r="AU141" s="12" t="str">
        <f aca="false">IF(AR141=2,AO141,"")</f>
        <v/>
      </c>
      <c r="AV141" s="12" t="str">
        <f aca="false">IF(AR141=1,AP141,"")</f>
        <v/>
      </c>
      <c r="AW141" s="12" t="str">
        <f aca="false">IF(AR141=2,AP141,"")</f>
        <v/>
      </c>
      <c r="AX141" s="12" t="str">
        <f aca="false">IF(AR141=1,AQ141,"")</f>
        <v/>
      </c>
      <c r="AY141" s="12" t="str">
        <f aca="false">IF(AR141=2,AQ141,"")</f>
        <v/>
      </c>
    </row>
    <row r="142" customFormat="false" ht="15" hidden="false" customHeight="tru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1" t="str">
        <f aca="false">IF(V142="","",6-V142)</f>
        <v/>
      </c>
      <c r="AI142" s="11" t="str">
        <f aca="false">IF(W142="","",6-W142)</f>
        <v/>
      </c>
      <c r="AJ142" s="11" t="str">
        <f aca="false">IF(X142="","",6-X142)</f>
        <v/>
      </c>
      <c r="AK142" s="11" t="str">
        <f aca="false">IF(Y142="","",6-Y142)</f>
        <v/>
      </c>
      <c r="AL142" s="11" t="str">
        <f aca="false">IF(COUNT(H142:O142)=8,SUM(H142:O142),"")</f>
        <v/>
      </c>
      <c r="AM142" s="11" t="str">
        <f aca="false">IF(COUNT(P142:U142,AH142:AK142)=10,SUM(P142:U142,AH142:AK142),"")</f>
        <v/>
      </c>
      <c r="AN142" s="11" t="str">
        <f aca="false">IF(COUNT(Z142:AG142)=8,SUM(Z142:AG142),"")</f>
        <v/>
      </c>
      <c r="AO142" s="12" t="str">
        <f aca="false">IF(AL142="","",AL142/8)</f>
        <v/>
      </c>
      <c r="AP142" s="12" t="str">
        <f aca="false">IF(AM142="","",AM142/10)</f>
        <v/>
      </c>
      <c r="AQ142" s="12" t="str">
        <f aca="false">IF(AN142="","",AN142/8)</f>
        <v/>
      </c>
      <c r="AR142" s="11" t="str">
        <f aca="false">IF(A142="","",IF(OR(F142=1,G142=1,AND(E142&lt;&gt;"",E142&lt;=2)),2,IF(AND(E142&gt;=3,G142=2,OR(F142=2,F142=3)),1,"")))</f>
        <v/>
      </c>
      <c r="AS142" s="11" t="str">
        <f aca="false">IF(AR142=1,"טיפוסי",IF(AR142=2,"מתקשה",""))</f>
        <v/>
      </c>
      <c r="AT142" s="12" t="str">
        <f aca="false">IF(AR142=1,AO142,"")</f>
        <v/>
      </c>
      <c r="AU142" s="12" t="str">
        <f aca="false">IF(AR142=2,AO142,"")</f>
        <v/>
      </c>
      <c r="AV142" s="12" t="str">
        <f aca="false">IF(AR142=1,AP142,"")</f>
        <v/>
      </c>
      <c r="AW142" s="12" t="str">
        <f aca="false">IF(AR142=2,AP142,"")</f>
        <v/>
      </c>
      <c r="AX142" s="12" t="str">
        <f aca="false">IF(AR142=1,AQ142,"")</f>
        <v/>
      </c>
      <c r="AY142" s="12" t="str">
        <f aca="false">IF(AR142=2,AQ142,"")</f>
        <v/>
      </c>
    </row>
    <row r="143" customFormat="false" ht="15" hidden="false" customHeight="tru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1" t="str">
        <f aca="false">IF(V143="","",6-V143)</f>
        <v/>
      </c>
      <c r="AI143" s="11" t="str">
        <f aca="false">IF(W143="","",6-W143)</f>
        <v/>
      </c>
      <c r="AJ143" s="11" t="str">
        <f aca="false">IF(X143="","",6-X143)</f>
        <v/>
      </c>
      <c r="AK143" s="11" t="str">
        <f aca="false">IF(Y143="","",6-Y143)</f>
        <v/>
      </c>
      <c r="AL143" s="11" t="str">
        <f aca="false">IF(COUNT(H143:O143)=8,SUM(H143:O143),"")</f>
        <v/>
      </c>
      <c r="AM143" s="11" t="str">
        <f aca="false">IF(COUNT(P143:U143,AH143:AK143)=10,SUM(P143:U143,AH143:AK143),"")</f>
        <v/>
      </c>
      <c r="AN143" s="11" t="str">
        <f aca="false">IF(COUNT(Z143:AG143)=8,SUM(Z143:AG143),"")</f>
        <v/>
      </c>
      <c r="AO143" s="12" t="str">
        <f aca="false">IF(AL143="","",AL143/8)</f>
        <v/>
      </c>
      <c r="AP143" s="12" t="str">
        <f aca="false">IF(AM143="","",AM143/10)</f>
        <v/>
      </c>
      <c r="AQ143" s="12" t="str">
        <f aca="false">IF(AN143="","",AN143/8)</f>
        <v/>
      </c>
      <c r="AR143" s="11" t="str">
        <f aca="false">IF(A143="","",IF(OR(F143=1,G143=1,AND(E143&lt;&gt;"",E143&lt;=2)),2,IF(AND(E143&gt;=3,G143=2,OR(F143=2,F143=3)),1,"")))</f>
        <v/>
      </c>
      <c r="AS143" s="11" t="str">
        <f aca="false">IF(AR143=1,"טיפוסי",IF(AR143=2,"מתקשה",""))</f>
        <v/>
      </c>
      <c r="AT143" s="12" t="str">
        <f aca="false">IF(AR143=1,AO143,"")</f>
        <v/>
      </c>
      <c r="AU143" s="12" t="str">
        <f aca="false">IF(AR143=2,AO143,"")</f>
        <v/>
      </c>
      <c r="AV143" s="12" t="str">
        <f aca="false">IF(AR143=1,AP143,"")</f>
        <v/>
      </c>
      <c r="AW143" s="12" t="str">
        <f aca="false">IF(AR143=2,AP143,"")</f>
        <v/>
      </c>
      <c r="AX143" s="12" t="str">
        <f aca="false">IF(AR143=1,AQ143,"")</f>
        <v/>
      </c>
      <c r="AY143" s="12" t="str">
        <f aca="false">IF(AR143=2,AQ143,"")</f>
        <v/>
      </c>
    </row>
    <row r="144" customFormat="false" ht="15" hidden="false" customHeight="tru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1" t="str">
        <f aca="false">IF(V144="","",6-V144)</f>
        <v/>
      </c>
      <c r="AI144" s="11" t="str">
        <f aca="false">IF(W144="","",6-W144)</f>
        <v/>
      </c>
      <c r="AJ144" s="11" t="str">
        <f aca="false">IF(X144="","",6-X144)</f>
        <v/>
      </c>
      <c r="AK144" s="11" t="str">
        <f aca="false">IF(Y144="","",6-Y144)</f>
        <v/>
      </c>
      <c r="AL144" s="11" t="str">
        <f aca="false">IF(COUNT(H144:O144)=8,SUM(H144:O144),"")</f>
        <v/>
      </c>
      <c r="AM144" s="11" t="str">
        <f aca="false">IF(COUNT(P144:U144,AH144:AK144)=10,SUM(P144:U144,AH144:AK144),"")</f>
        <v/>
      </c>
      <c r="AN144" s="11" t="str">
        <f aca="false">IF(COUNT(Z144:AG144)=8,SUM(Z144:AG144),"")</f>
        <v/>
      </c>
      <c r="AO144" s="12" t="str">
        <f aca="false">IF(AL144="","",AL144/8)</f>
        <v/>
      </c>
      <c r="AP144" s="12" t="str">
        <f aca="false">IF(AM144="","",AM144/10)</f>
        <v/>
      </c>
      <c r="AQ144" s="12" t="str">
        <f aca="false">IF(AN144="","",AN144/8)</f>
        <v/>
      </c>
      <c r="AR144" s="11" t="str">
        <f aca="false">IF(A144="","",IF(OR(F144=1,G144=1,AND(E144&lt;&gt;"",E144&lt;=2)),2,IF(AND(E144&gt;=3,G144=2,OR(F144=2,F144=3)),1,"")))</f>
        <v/>
      </c>
      <c r="AS144" s="11" t="str">
        <f aca="false">IF(AR144=1,"טיפוסי",IF(AR144=2,"מתקשה",""))</f>
        <v/>
      </c>
      <c r="AT144" s="12" t="str">
        <f aca="false">IF(AR144=1,AO144,"")</f>
        <v/>
      </c>
      <c r="AU144" s="12" t="str">
        <f aca="false">IF(AR144=2,AO144,"")</f>
        <v/>
      </c>
      <c r="AV144" s="12" t="str">
        <f aca="false">IF(AR144=1,AP144,"")</f>
        <v/>
      </c>
      <c r="AW144" s="12" t="str">
        <f aca="false">IF(AR144=2,AP144,"")</f>
        <v/>
      </c>
      <c r="AX144" s="12" t="str">
        <f aca="false">IF(AR144=1,AQ144,"")</f>
        <v/>
      </c>
      <c r="AY144" s="12" t="str">
        <f aca="false">IF(AR144=2,AQ144,"")</f>
        <v/>
      </c>
    </row>
    <row r="145" customFormat="false" ht="15" hidden="false" customHeight="tru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1" t="str">
        <f aca="false">IF(V145="","",6-V145)</f>
        <v/>
      </c>
      <c r="AI145" s="11" t="str">
        <f aca="false">IF(W145="","",6-W145)</f>
        <v/>
      </c>
      <c r="AJ145" s="11" t="str">
        <f aca="false">IF(X145="","",6-X145)</f>
        <v/>
      </c>
      <c r="AK145" s="11" t="str">
        <f aca="false">IF(Y145="","",6-Y145)</f>
        <v/>
      </c>
      <c r="AL145" s="11" t="str">
        <f aca="false">IF(COUNT(H145:O145)=8,SUM(H145:O145),"")</f>
        <v/>
      </c>
      <c r="AM145" s="11" t="str">
        <f aca="false">IF(COUNT(P145:U145,AH145:AK145)=10,SUM(P145:U145,AH145:AK145),"")</f>
        <v/>
      </c>
      <c r="AN145" s="11" t="str">
        <f aca="false">IF(COUNT(Z145:AG145)=8,SUM(Z145:AG145),"")</f>
        <v/>
      </c>
      <c r="AO145" s="12" t="str">
        <f aca="false">IF(AL145="","",AL145/8)</f>
        <v/>
      </c>
      <c r="AP145" s="12" t="str">
        <f aca="false">IF(AM145="","",AM145/10)</f>
        <v/>
      </c>
      <c r="AQ145" s="12" t="str">
        <f aca="false">IF(AN145="","",AN145/8)</f>
        <v/>
      </c>
      <c r="AR145" s="11" t="str">
        <f aca="false">IF(A145="","",IF(OR(F145=1,G145=1,AND(E145&lt;&gt;"",E145&lt;=2)),2,IF(AND(E145&gt;=3,G145=2,OR(F145=2,F145=3)),1,"")))</f>
        <v/>
      </c>
      <c r="AS145" s="11" t="str">
        <f aca="false">IF(AR145=1,"טיפוסי",IF(AR145=2,"מתקשה",""))</f>
        <v/>
      </c>
      <c r="AT145" s="12" t="str">
        <f aca="false">IF(AR145=1,AO145,"")</f>
        <v/>
      </c>
      <c r="AU145" s="12" t="str">
        <f aca="false">IF(AR145=2,AO145,"")</f>
        <v/>
      </c>
      <c r="AV145" s="12" t="str">
        <f aca="false">IF(AR145=1,AP145,"")</f>
        <v/>
      </c>
      <c r="AW145" s="12" t="str">
        <f aca="false">IF(AR145=2,AP145,"")</f>
        <v/>
      </c>
      <c r="AX145" s="12" t="str">
        <f aca="false">IF(AR145=1,AQ145,"")</f>
        <v/>
      </c>
      <c r="AY145" s="12" t="str">
        <f aca="false">IF(AR145=2,AQ145,"")</f>
        <v/>
      </c>
    </row>
    <row r="146" customFormat="false" ht="15" hidden="false" customHeight="tru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1" t="str">
        <f aca="false">IF(V146="","",6-V146)</f>
        <v/>
      </c>
      <c r="AI146" s="11" t="str">
        <f aca="false">IF(W146="","",6-W146)</f>
        <v/>
      </c>
      <c r="AJ146" s="11" t="str">
        <f aca="false">IF(X146="","",6-X146)</f>
        <v/>
      </c>
      <c r="AK146" s="11" t="str">
        <f aca="false">IF(Y146="","",6-Y146)</f>
        <v/>
      </c>
      <c r="AL146" s="11" t="str">
        <f aca="false">IF(COUNT(H146:O146)=8,SUM(H146:O146),"")</f>
        <v/>
      </c>
      <c r="AM146" s="11" t="str">
        <f aca="false">IF(COUNT(P146:U146,AH146:AK146)=10,SUM(P146:U146,AH146:AK146),"")</f>
        <v/>
      </c>
      <c r="AN146" s="11" t="str">
        <f aca="false">IF(COUNT(Z146:AG146)=8,SUM(Z146:AG146),"")</f>
        <v/>
      </c>
      <c r="AO146" s="12" t="str">
        <f aca="false">IF(AL146="","",AL146/8)</f>
        <v/>
      </c>
      <c r="AP146" s="12" t="str">
        <f aca="false">IF(AM146="","",AM146/10)</f>
        <v/>
      </c>
      <c r="AQ146" s="12" t="str">
        <f aca="false">IF(AN146="","",AN146/8)</f>
        <v/>
      </c>
      <c r="AR146" s="11" t="str">
        <f aca="false">IF(A146="","",IF(OR(F146=1,G146=1,AND(E146&lt;&gt;"",E146&lt;=2)),2,IF(AND(E146&gt;=3,G146=2,OR(F146=2,F146=3)),1,"")))</f>
        <v/>
      </c>
      <c r="AS146" s="11" t="str">
        <f aca="false">IF(AR146=1,"טיפוסי",IF(AR146=2,"מתקשה",""))</f>
        <v/>
      </c>
      <c r="AT146" s="12" t="str">
        <f aca="false">IF(AR146=1,AO146,"")</f>
        <v/>
      </c>
      <c r="AU146" s="12" t="str">
        <f aca="false">IF(AR146=2,AO146,"")</f>
        <v/>
      </c>
      <c r="AV146" s="12" t="str">
        <f aca="false">IF(AR146=1,AP146,"")</f>
        <v/>
      </c>
      <c r="AW146" s="12" t="str">
        <f aca="false">IF(AR146=2,AP146,"")</f>
        <v/>
      </c>
      <c r="AX146" s="12" t="str">
        <f aca="false">IF(AR146=1,AQ146,"")</f>
        <v/>
      </c>
      <c r="AY146" s="12" t="str">
        <f aca="false">IF(AR146=2,AQ146,"")</f>
        <v/>
      </c>
    </row>
    <row r="147" customFormat="false" ht="15" hidden="false" customHeight="tru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1" t="str">
        <f aca="false">IF(V147="","",6-V147)</f>
        <v/>
      </c>
      <c r="AI147" s="11" t="str">
        <f aca="false">IF(W147="","",6-W147)</f>
        <v/>
      </c>
      <c r="AJ147" s="11" t="str">
        <f aca="false">IF(X147="","",6-X147)</f>
        <v/>
      </c>
      <c r="AK147" s="11" t="str">
        <f aca="false">IF(Y147="","",6-Y147)</f>
        <v/>
      </c>
      <c r="AL147" s="11" t="str">
        <f aca="false">IF(COUNT(H147:O147)=8,SUM(H147:O147),"")</f>
        <v/>
      </c>
      <c r="AM147" s="11" t="str">
        <f aca="false">IF(COUNT(P147:U147,AH147:AK147)=10,SUM(P147:U147,AH147:AK147),"")</f>
        <v/>
      </c>
      <c r="AN147" s="11" t="str">
        <f aca="false">IF(COUNT(Z147:AG147)=8,SUM(Z147:AG147),"")</f>
        <v/>
      </c>
      <c r="AO147" s="12" t="str">
        <f aca="false">IF(AL147="","",AL147/8)</f>
        <v/>
      </c>
      <c r="AP147" s="12" t="str">
        <f aca="false">IF(AM147="","",AM147/10)</f>
        <v/>
      </c>
      <c r="AQ147" s="12" t="str">
        <f aca="false">IF(AN147="","",AN147/8)</f>
        <v/>
      </c>
      <c r="AR147" s="11" t="str">
        <f aca="false">IF(A147="","",IF(OR(F147=1,G147=1,AND(E147&lt;&gt;"",E147&lt;=2)),2,IF(AND(E147&gt;=3,G147=2,OR(F147=2,F147=3)),1,"")))</f>
        <v/>
      </c>
      <c r="AS147" s="11" t="str">
        <f aca="false">IF(AR147=1,"טיפוסי",IF(AR147=2,"מתקשה",""))</f>
        <v/>
      </c>
      <c r="AT147" s="12" t="str">
        <f aca="false">IF(AR147=1,AO147,"")</f>
        <v/>
      </c>
      <c r="AU147" s="12" t="str">
        <f aca="false">IF(AR147=2,AO147,"")</f>
        <v/>
      </c>
      <c r="AV147" s="12" t="str">
        <f aca="false">IF(AR147=1,AP147,"")</f>
        <v/>
      </c>
      <c r="AW147" s="12" t="str">
        <f aca="false">IF(AR147=2,AP147,"")</f>
        <v/>
      </c>
      <c r="AX147" s="12" t="str">
        <f aca="false">IF(AR147=1,AQ147,"")</f>
        <v/>
      </c>
      <c r="AY147" s="12" t="str">
        <f aca="false">IF(AR147=2,AQ147,"")</f>
        <v/>
      </c>
    </row>
    <row r="148" customFormat="false" ht="15" hidden="false" customHeight="tru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1" t="str">
        <f aca="false">IF(V148="","",6-V148)</f>
        <v/>
      </c>
      <c r="AI148" s="11" t="str">
        <f aca="false">IF(W148="","",6-W148)</f>
        <v/>
      </c>
      <c r="AJ148" s="11" t="str">
        <f aca="false">IF(X148="","",6-X148)</f>
        <v/>
      </c>
      <c r="AK148" s="11" t="str">
        <f aca="false">IF(Y148="","",6-Y148)</f>
        <v/>
      </c>
      <c r="AL148" s="11" t="str">
        <f aca="false">IF(COUNT(H148:O148)=8,SUM(H148:O148),"")</f>
        <v/>
      </c>
      <c r="AM148" s="11" t="str">
        <f aca="false">IF(COUNT(P148:U148,AH148:AK148)=10,SUM(P148:U148,AH148:AK148),"")</f>
        <v/>
      </c>
      <c r="AN148" s="11" t="str">
        <f aca="false">IF(COUNT(Z148:AG148)=8,SUM(Z148:AG148),"")</f>
        <v/>
      </c>
      <c r="AO148" s="12" t="str">
        <f aca="false">IF(AL148="","",AL148/8)</f>
        <v/>
      </c>
      <c r="AP148" s="12" t="str">
        <f aca="false">IF(AM148="","",AM148/10)</f>
        <v/>
      </c>
      <c r="AQ148" s="12" t="str">
        <f aca="false">IF(AN148="","",AN148/8)</f>
        <v/>
      </c>
      <c r="AR148" s="11" t="str">
        <f aca="false">IF(A148="","",IF(OR(F148=1,G148=1,AND(E148&lt;&gt;"",E148&lt;=2)),2,IF(AND(E148&gt;=3,G148=2,OR(F148=2,F148=3)),1,"")))</f>
        <v/>
      </c>
      <c r="AS148" s="11" t="str">
        <f aca="false">IF(AR148=1,"טיפוסי",IF(AR148=2,"מתקשה",""))</f>
        <v/>
      </c>
      <c r="AT148" s="12" t="str">
        <f aca="false">IF(AR148=1,AO148,"")</f>
        <v/>
      </c>
      <c r="AU148" s="12" t="str">
        <f aca="false">IF(AR148=2,AO148,"")</f>
        <v/>
      </c>
      <c r="AV148" s="12" t="str">
        <f aca="false">IF(AR148=1,AP148,"")</f>
        <v/>
      </c>
      <c r="AW148" s="12" t="str">
        <f aca="false">IF(AR148=2,AP148,"")</f>
        <v/>
      </c>
      <c r="AX148" s="12" t="str">
        <f aca="false">IF(AR148=1,AQ148,"")</f>
        <v/>
      </c>
      <c r="AY148" s="12" t="str">
        <f aca="false">IF(AR148=2,AQ148,"")</f>
        <v/>
      </c>
    </row>
    <row r="149" customFormat="false" ht="15" hidden="false" customHeight="tru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1" t="str">
        <f aca="false">IF(V149="","",6-V149)</f>
        <v/>
      </c>
      <c r="AI149" s="11" t="str">
        <f aca="false">IF(W149="","",6-W149)</f>
        <v/>
      </c>
      <c r="AJ149" s="11" t="str">
        <f aca="false">IF(X149="","",6-X149)</f>
        <v/>
      </c>
      <c r="AK149" s="11" t="str">
        <f aca="false">IF(Y149="","",6-Y149)</f>
        <v/>
      </c>
      <c r="AL149" s="11" t="str">
        <f aca="false">IF(COUNT(H149:O149)=8,SUM(H149:O149),"")</f>
        <v/>
      </c>
      <c r="AM149" s="11" t="str">
        <f aca="false">IF(COUNT(P149:U149,AH149:AK149)=10,SUM(P149:U149,AH149:AK149),"")</f>
        <v/>
      </c>
      <c r="AN149" s="11" t="str">
        <f aca="false">IF(COUNT(Z149:AG149)=8,SUM(Z149:AG149),"")</f>
        <v/>
      </c>
      <c r="AO149" s="12" t="str">
        <f aca="false">IF(AL149="","",AL149/8)</f>
        <v/>
      </c>
      <c r="AP149" s="12" t="str">
        <f aca="false">IF(AM149="","",AM149/10)</f>
        <v/>
      </c>
      <c r="AQ149" s="12" t="str">
        <f aca="false">IF(AN149="","",AN149/8)</f>
        <v/>
      </c>
      <c r="AR149" s="11" t="str">
        <f aca="false">IF(A149="","",IF(OR(F149=1,G149=1,AND(E149&lt;&gt;"",E149&lt;=2)),2,IF(AND(E149&gt;=3,G149=2,OR(F149=2,F149=3)),1,"")))</f>
        <v/>
      </c>
      <c r="AS149" s="11" t="str">
        <f aca="false">IF(AR149=1,"טיפוסי",IF(AR149=2,"מתקשה",""))</f>
        <v/>
      </c>
      <c r="AT149" s="12" t="str">
        <f aca="false">IF(AR149=1,AO149,"")</f>
        <v/>
      </c>
      <c r="AU149" s="12" t="str">
        <f aca="false">IF(AR149=2,AO149,"")</f>
        <v/>
      </c>
      <c r="AV149" s="12" t="str">
        <f aca="false">IF(AR149=1,AP149,"")</f>
        <v/>
      </c>
      <c r="AW149" s="12" t="str">
        <f aca="false">IF(AR149=2,AP149,"")</f>
        <v/>
      </c>
      <c r="AX149" s="12" t="str">
        <f aca="false">IF(AR149=1,AQ149,"")</f>
        <v/>
      </c>
      <c r="AY149" s="12" t="str">
        <f aca="false">IF(AR149=2,AQ149,"")</f>
        <v/>
      </c>
    </row>
    <row r="150" customFormat="false" ht="15" hidden="false" customHeight="tru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1" t="str">
        <f aca="false">IF(V150="","",6-V150)</f>
        <v/>
      </c>
      <c r="AI150" s="11" t="str">
        <f aca="false">IF(W150="","",6-W150)</f>
        <v/>
      </c>
      <c r="AJ150" s="11" t="str">
        <f aca="false">IF(X150="","",6-X150)</f>
        <v/>
      </c>
      <c r="AK150" s="11" t="str">
        <f aca="false">IF(Y150="","",6-Y150)</f>
        <v/>
      </c>
      <c r="AL150" s="11" t="str">
        <f aca="false">IF(COUNT(H150:O150)=8,SUM(H150:O150),"")</f>
        <v/>
      </c>
      <c r="AM150" s="11" t="str">
        <f aca="false">IF(COUNT(P150:U150,AH150:AK150)=10,SUM(P150:U150,AH150:AK150),"")</f>
        <v/>
      </c>
      <c r="AN150" s="11" t="str">
        <f aca="false">IF(COUNT(Z150:AG150)=8,SUM(Z150:AG150),"")</f>
        <v/>
      </c>
      <c r="AO150" s="12" t="str">
        <f aca="false">IF(AL150="","",AL150/8)</f>
        <v/>
      </c>
      <c r="AP150" s="12" t="str">
        <f aca="false">IF(AM150="","",AM150/10)</f>
        <v/>
      </c>
      <c r="AQ150" s="12" t="str">
        <f aca="false">IF(AN150="","",AN150/8)</f>
        <v/>
      </c>
      <c r="AR150" s="11" t="str">
        <f aca="false">IF(A150="","",IF(OR(F150=1,G150=1,AND(E150&lt;&gt;"",E150&lt;=2)),2,IF(AND(E150&gt;=3,G150=2,OR(F150=2,F150=3)),1,"")))</f>
        <v/>
      </c>
      <c r="AS150" s="11" t="str">
        <f aca="false">IF(AR150=1,"טיפוסי",IF(AR150=2,"מתקשה",""))</f>
        <v/>
      </c>
      <c r="AT150" s="12" t="str">
        <f aca="false">IF(AR150=1,AO150,"")</f>
        <v/>
      </c>
      <c r="AU150" s="12" t="str">
        <f aca="false">IF(AR150=2,AO150,"")</f>
        <v/>
      </c>
      <c r="AV150" s="12" t="str">
        <f aca="false">IF(AR150=1,AP150,"")</f>
        <v/>
      </c>
      <c r="AW150" s="12" t="str">
        <f aca="false">IF(AR150=2,AP150,"")</f>
        <v/>
      </c>
      <c r="AX150" s="12" t="str">
        <f aca="false">IF(AR150=1,AQ150,"")</f>
        <v/>
      </c>
      <c r="AY150" s="12" t="str">
        <f aca="false">IF(AR150=2,AQ150,"")</f>
        <v/>
      </c>
    </row>
    <row r="151" customFormat="false" ht="15" hidden="false" customHeight="tru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1" t="str">
        <f aca="false">IF(V151="","",6-V151)</f>
        <v/>
      </c>
      <c r="AI151" s="11" t="str">
        <f aca="false">IF(W151="","",6-W151)</f>
        <v/>
      </c>
      <c r="AJ151" s="11" t="str">
        <f aca="false">IF(X151="","",6-X151)</f>
        <v/>
      </c>
      <c r="AK151" s="11" t="str">
        <f aca="false">IF(Y151="","",6-Y151)</f>
        <v/>
      </c>
      <c r="AL151" s="11" t="str">
        <f aca="false">IF(COUNT(H151:O151)=8,SUM(H151:O151),"")</f>
        <v/>
      </c>
      <c r="AM151" s="11" t="str">
        <f aca="false">IF(COUNT(P151:U151,AH151:AK151)=10,SUM(P151:U151,AH151:AK151),"")</f>
        <v/>
      </c>
      <c r="AN151" s="11" t="str">
        <f aca="false">IF(COUNT(Z151:AG151)=8,SUM(Z151:AG151),"")</f>
        <v/>
      </c>
      <c r="AO151" s="12" t="str">
        <f aca="false">IF(AL151="","",AL151/8)</f>
        <v/>
      </c>
      <c r="AP151" s="12" t="str">
        <f aca="false">IF(AM151="","",AM151/10)</f>
        <v/>
      </c>
      <c r="AQ151" s="12" t="str">
        <f aca="false">IF(AN151="","",AN151/8)</f>
        <v/>
      </c>
      <c r="AR151" s="11" t="str">
        <f aca="false">IF(A151="","",IF(OR(F151=1,G151=1,AND(E151&lt;&gt;"",E151&lt;=2)),2,IF(AND(E151&gt;=3,G151=2,OR(F151=2,F151=3)),1,"")))</f>
        <v/>
      </c>
      <c r="AS151" s="11" t="str">
        <f aca="false">IF(AR151=1,"טיפוסי",IF(AR151=2,"מתקשה",""))</f>
        <v/>
      </c>
      <c r="AT151" s="12" t="str">
        <f aca="false">IF(AR151=1,AO151,"")</f>
        <v/>
      </c>
      <c r="AU151" s="12" t="str">
        <f aca="false">IF(AR151=2,AO151,"")</f>
        <v/>
      </c>
      <c r="AV151" s="12" t="str">
        <f aca="false">IF(AR151=1,AP151,"")</f>
        <v/>
      </c>
      <c r="AW151" s="12" t="str">
        <f aca="false">IF(AR151=2,AP151,"")</f>
        <v/>
      </c>
      <c r="AX151" s="12" t="str">
        <f aca="false">IF(AR151=1,AQ151,"")</f>
        <v/>
      </c>
      <c r="AY151" s="12" t="str">
        <f aca="false">IF(AR151=2,AQ151,"")</f>
        <v/>
      </c>
    </row>
    <row r="152" customFormat="false" ht="15" hidden="false" customHeight="tru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1" t="str">
        <f aca="false">IF(V152="","",6-V152)</f>
        <v/>
      </c>
      <c r="AI152" s="11" t="str">
        <f aca="false">IF(W152="","",6-W152)</f>
        <v/>
      </c>
      <c r="AJ152" s="11" t="str">
        <f aca="false">IF(X152="","",6-X152)</f>
        <v/>
      </c>
      <c r="AK152" s="11" t="str">
        <f aca="false">IF(Y152="","",6-Y152)</f>
        <v/>
      </c>
      <c r="AL152" s="11" t="str">
        <f aca="false">IF(COUNT(H152:O152)=8,SUM(H152:O152),"")</f>
        <v/>
      </c>
      <c r="AM152" s="11" t="str">
        <f aca="false">IF(COUNT(P152:U152,AH152:AK152)=10,SUM(P152:U152,AH152:AK152),"")</f>
        <v/>
      </c>
      <c r="AN152" s="11" t="str">
        <f aca="false">IF(COUNT(Z152:AG152)=8,SUM(Z152:AG152),"")</f>
        <v/>
      </c>
      <c r="AO152" s="12" t="str">
        <f aca="false">IF(AL152="","",AL152/8)</f>
        <v/>
      </c>
      <c r="AP152" s="12" t="str">
        <f aca="false">IF(AM152="","",AM152/10)</f>
        <v/>
      </c>
      <c r="AQ152" s="12" t="str">
        <f aca="false">IF(AN152="","",AN152/8)</f>
        <v/>
      </c>
      <c r="AR152" s="11" t="str">
        <f aca="false">IF(A152="","",IF(OR(F152=1,G152=1,AND(E152&lt;&gt;"",E152&lt;=2)),2,IF(AND(E152&gt;=3,G152=2,OR(F152=2,F152=3)),1,"")))</f>
        <v/>
      </c>
      <c r="AS152" s="11" t="str">
        <f aca="false">IF(AR152=1,"טיפוסי",IF(AR152=2,"מתקשה",""))</f>
        <v/>
      </c>
      <c r="AT152" s="12" t="str">
        <f aca="false">IF(AR152=1,AO152,"")</f>
        <v/>
      </c>
      <c r="AU152" s="12" t="str">
        <f aca="false">IF(AR152=2,AO152,"")</f>
        <v/>
      </c>
      <c r="AV152" s="12" t="str">
        <f aca="false">IF(AR152=1,AP152,"")</f>
        <v/>
      </c>
      <c r="AW152" s="12" t="str">
        <f aca="false">IF(AR152=2,AP152,"")</f>
        <v/>
      </c>
      <c r="AX152" s="12" t="str">
        <f aca="false">IF(AR152=1,AQ152,"")</f>
        <v/>
      </c>
      <c r="AY152" s="12" t="str">
        <f aca="false">IF(AR152=2,AQ152,"")</f>
        <v/>
      </c>
    </row>
    <row r="153" customFormat="false" ht="15" hidden="false" customHeight="tru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1" t="str">
        <f aca="false">IF(V153="","",6-V153)</f>
        <v/>
      </c>
      <c r="AI153" s="11" t="str">
        <f aca="false">IF(W153="","",6-W153)</f>
        <v/>
      </c>
      <c r="AJ153" s="11" t="str">
        <f aca="false">IF(X153="","",6-X153)</f>
        <v/>
      </c>
      <c r="AK153" s="11" t="str">
        <f aca="false">IF(Y153="","",6-Y153)</f>
        <v/>
      </c>
      <c r="AL153" s="11" t="str">
        <f aca="false">IF(COUNT(H153:O153)=8,SUM(H153:O153),"")</f>
        <v/>
      </c>
      <c r="AM153" s="11" t="str">
        <f aca="false">IF(COUNT(P153:U153,AH153:AK153)=10,SUM(P153:U153,AH153:AK153),"")</f>
        <v/>
      </c>
      <c r="AN153" s="11" t="str">
        <f aca="false">IF(COUNT(Z153:AG153)=8,SUM(Z153:AG153),"")</f>
        <v/>
      </c>
      <c r="AO153" s="12" t="str">
        <f aca="false">IF(AL153="","",AL153/8)</f>
        <v/>
      </c>
      <c r="AP153" s="12" t="str">
        <f aca="false">IF(AM153="","",AM153/10)</f>
        <v/>
      </c>
      <c r="AQ153" s="12" t="str">
        <f aca="false">IF(AN153="","",AN153/8)</f>
        <v/>
      </c>
      <c r="AR153" s="11" t="str">
        <f aca="false">IF(A153="","",IF(OR(F153=1,G153=1,AND(E153&lt;&gt;"",E153&lt;=2)),2,IF(AND(E153&gt;=3,G153=2,OR(F153=2,F153=3)),1,"")))</f>
        <v/>
      </c>
      <c r="AS153" s="11" t="str">
        <f aca="false">IF(AR153=1,"טיפוסי",IF(AR153=2,"מתקשה",""))</f>
        <v/>
      </c>
      <c r="AT153" s="12" t="str">
        <f aca="false">IF(AR153=1,AO153,"")</f>
        <v/>
      </c>
      <c r="AU153" s="12" t="str">
        <f aca="false">IF(AR153=2,AO153,"")</f>
        <v/>
      </c>
      <c r="AV153" s="12" t="str">
        <f aca="false">IF(AR153=1,AP153,"")</f>
        <v/>
      </c>
      <c r="AW153" s="12" t="str">
        <f aca="false">IF(AR153=2,AP153,"")</f>
        <v/>
      </c>
      <c r="AX153" s="12" t="str">
        <f aca="false">IF(AR153=1,AQ153,"")</f>
        <v/>
      </c>
      <c r="AY153" s="12" t="str">
        <f aca="false">IF(AR153=2,AQ153,"")</f>
        <v/>
      </c>
    </row>
    <row r="154" customFormat="false" ht="15" hidden="false" customHeight="tru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1" t="str">
        <f aca="false">IF(V154="","",6-V154)</f>
        <v/>
      </c>
      <c r="AI154" s="11" t="str">
        <f aca="false">IF(W154="","",6-W154)</f>
        <v/>
      </c>
      <c r="AJ154" s="11" t="str">
        <f aca="false">IF(X154="","",6-X154)</f>
        <v/>
      </c>
      <c r="AK154" s="11" t="str">
        <f aca="false">IF(Y154="","",6-Y154)</f>
        <v/>
      </c>
      <c r="AL154" s="11" t="str">
        <f aca="false">IF(COUNT(H154:O154)=8,SUM(H154:O154),"")</f>
        <v/>
      </c>
      <c r="AM154" s="11" t="str">
        <f aca="false">IF(COUNT(P154:U154,AH154:AK154)=10,SUM(P154:U154,AH154:AK154),"")</f>
        <v/>
      </c>
      <c r="AN154" s="11" t="str">
        <f aca="false">IF(COUNT(Z154:AG154)=8,SUM(Z154:AG154),"")</f>
        <v/>
      </c>
      <c r="AO154" s="12" t="str">
        <f aca="false">IF(AL154="","",AL154/8)</f>
        <v/>
      </c>
      <c r="AP154" s="12" t="str">
        <f aca="false">IF(AM154="","",AM154/10)</f>
        <v/>
      </c>
      <c r="AQ154" s="12" t="str">
        <f aca="false">IF(AN154="","",AN154/8)</f>
        <v/>
      </c>
      <c r="AR154" s="11" t="str">
        <f aca="false">IF(A154="","",IF(OR(F154=1,G154=1,AND(E154&lt;&gt;"",E154&lt;=2)),2,IF(AND(E154&gt;=3,G154=2,OR(F154=2,F154=3)),1,"")))</f>
        <v/>
      </c>
      <c r="AS154" s="11" t="str">
        <f aca="false">IF(AR154=1,"טיפוסי",IF(AR154=2,"מתקשה",""))</f>
        <v/>
      </c>
      <c r="AT154" s="12" t="str">
        <f aca="false">IF(AR154=1,AO154,"")</f>
        <v/>
      </c>
      <c r="AU154" s="12" t="str">
        <f aca="false">IF(AR154=2,AO154,"")</f>
        <v/>
      </c>
      <c r="AV154" s="12" t="str">
        <f aca="false">IF(AR154=1,AP154,"")</f>
        <v/>
      </c>
      <c r="AW154" s="12" t="str">
        <f aca="false">IF(AR154=2,AP154,"")</f>
        <v/>
      </c>
      <c r="AX154" s="12" t="str">
        <f aca="false">IF(AR154=1,AQ154,"")</f>
        <v/>
      </c>
      <c r="AY154" s="12" t="str">
        <f aca="false">IF(AR154=2,AQ154,"")</f>
        <v/>
      </c>
    </row>
    <row r="155" customFormat="false" ht="15" hidden="false" customHeight="true" outlineLevel="0" collapsed="false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1" t="str">
        <f aca="false">IF(V155="","",6-V155)</f>
        <v/>
      </c>
      <c r="AI155" s="11" t="str">
        <f aca="false">IF(W155="","",6-W155)</f>
        <v/>
      </c>
      <c r="AJ155" s="11" t="str">
        <f aca="false">IF(X155="","",6-X155)</f>
        <v/>
      </c>
      <c r="AK155" s="11" t="str">
        <f aca="false">IF(Y155="","",6-Y155)</f>
        <v/>
      </c>
      <c r="AL155" s="11" t="str">
        <f aca="false">IF(COUNT(H155:O155)=8,SUM(H155:O155),"")</f>
        <v/>
      </c>
      <c r="AM155" s="11" t="str">
        <f aca="false">IF(COUNT(P155:U155,AH155:AK155)=10,SUM(P155:U155,AH155:AK155),"")</f>
        <v/>
      </c>
      <c r="AN155" s="11" t="str">
        <f aca="false">IF(COUNT(Z155:AG155)=8,SUM(Z155:AG155),"")</f>
        <v/>
      </c>
      <c r="AO155" s="12" t="str">
        <f aca="false">IF(AL155="","",AL155/8)</f>
        <v/>
      </c>
      <c r="AP155" s="12" t="str">
        <f aca="false">IF(AM155="","",AM155/10)</f>
        <v/>
      </c>
      <c r="AQ155" s="12" t="str">
        <f aca="false">IF(AN155="","",AN155/8)</f>
        <v/>
      </c>
      <c r="AR155" s="11" t="str">
        <f aca="false">IF(A155="","",IF(OR(F155=1,G155=1,AND(E155&lt;&gt;"",E155&lt;=2)),2,IF(AND(E155&gt;=3,G155=2,OR(F155=2,F155=3)),1,"")))</f>
        <v/>
      </c>
      <c r="AS155" s="11" t="str">
        <f aca="false">IF(AR155=1,"טיפוסי",IF(AR155=2,"מתקשה",""))</f>
        <v/>
      </c>
      <c r="AT155" s="12" t="str">
        <f aca="false">IF(AR155=1,AO155,"")</f>
        <v/>
      </c>
      <c r="AU155" s="12" t="str">
        <f aca="false">IF(AR155=2,AO155,"")</f>
        <v/>
      </c>
      <c r="AV155" s="12" t="str">
        <f aca="false">IF(AR155=1,AP155,"")</f>
        <v/>
      </c>
      <c r="AW155" s="12" t="str">
        <f aca="false">IF(AR155=2,AP155,"")</f>
        <v/>
      </c>
      <c r="AX155" s="12" t="str">
        <f aca="false">IF(AR155=1,AQ155,"")</f>
        <v/>
      </c>
      <c r="AY155" s="12" t="str">
        <f aca="false">IF(AR155=2,AQ155,"")</f>
        <v/>
      </c>
    </row>
    <row r="156" customFormat="false" ht="15" hidden="false" customHeight="true" outlineLevel="0" collapsed="false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1" t="str">
        <f aca="false">IF(V156="","",6-V156)</f>
        <v/>
      </c>
      <c r="AI156" s="11" t="str">
        <f aca="false">IF(W156="","",6-W156)</f>
        <v/>
      </c>
      <c r="AJ156" s="11" t="str">
        <f aca="false">IF(X156="","",6-X156)</f>
        <v/>
      </c>
      <c r="AK156" s="11" t="str">
        <f aca="false">IF(Y156="","",6-Y156)</f>
        <v/>
      </c>
      <c r="AL156" s="11" t="str">
        <f aca="false">IF(COUNT(H156:O156)=8,SUM(H156:O156),"")</f>
        <v/>
      </c>
      <c r="AM156" s="11" t="str">
        <f aca="false">IF(COUNT(P156:U156,AH156:AK156)=10,SUM(P156:U156,AH156:AK156),"")</f>
        <v/>
      </c>
      <c r="AN156" s="11" t="str">
        <f aca="false">IF(COUNT(Z156:AG156)=8,SUM(Z156:AG156),"")</f>
        <v/>
      </c>
      <c r="AO156" s="12" t="str">
        <f aca="false">IF(AL156="","",AL156/8)</f>
        <v/>
      </c>
      <c r="AP156" s="12" t="str">
        <f aca="false">IF(AM156="","",AM156/10)</f>
        <v/>
      </c>
      <c r="AQ156" s="12" t="str">
        <f aca="false">IF(AN156="","",AN156/8)</f>
        <v/>
      </c>
      <c r="AR156" s="11" t="str">
        <f aca="false">IF(A156="","",IF(OR(F156=1,G156=1,AND(E156&lt;&gt;"",E156&lt;=2)),2,IF(AND(E156&gt;=3,G156=2,OR(F156=2,F156=3)),1,"")))</f>
        <v/>
      </c>
      <c r="AS156" s="11" t="str">
        <f aca="false">IF(AR156=1,"טיפוסי",IF(AR156=2,"מתקשה",""))</f>
        <v/>
      </c>
      <c r="AT156" s="12" t="str">
        <f aca="false">IF(AR156=1,AO156,"")</f>
        <v/>
      </c>
      <c r="AU156" s="12" t="str">
        <f aca="false">IF(AR156=2,AO156,"")</f>
        <v/>
      </c>
      <c r="AV156" s="12" t="str">
        <f aca="false">IF(AR156=1,AP156,"")</f>
        <v/>
      </c>
      <c r="AW156" s="12" t="str">
        <f aca="false">IF(AR156=2,AP156,"")</f>
        <v/>
      </c>
      <c r="AX156" s="12" t="str">
        <f aca="false">IF(AR156=1,AQ156,"")</f>
        <v/>
      </c>
      <c r="AY156" s="12" t="str">
        <f aca="false">IF(AR156=2,AQ156,"")</f>
        <v/>
      </c>
    </row>
    <row r="157" customFormat="false" ht="15" hidden="false" customHeight="tru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1" t="str">
        <f aca="false">IF(V157="","",6-V157)</f>
        <v/>
      </c>
      <c r="AI157" s="11" t="str">
        <f aca="false">IF(W157="","",6-W157)</f>
        <v/>
      </c>
      <c r="AJ157" s="11" t="str">
        <f aca="false">IF(X157="","",6-X157)</f>
        <v/>
      </c>
      <c r="AK157" s="11" t="str">
        <f aca="false">IF(Y157="","",6-Y157)</f>
        <v/>
      </c>
      <c r="AL157" s="11" t="str">
        <f aca="false">IF(COUNT(H157:O157)=8,SUM(H157:O157),"")</f>
        <v/>
      </c>
      <c r="AM157" s="11" t="str">
        <f aca="false">IF(COUNT(P157:U157,AH157:AK157)=10,SUM(P157:U157,AH157:AK157),"")</f>
        <v/>
      </c>
      <c r="AN157" s="11" t="str">
        <f aca="false">IF(COUNT(Z157:AG157)=8,SUM(Z157:AG157),"")</f>
        <v/>
      </c>
      <c r="AO157" s="12" t="str">
        <f aca="false">IF(AL157="","",AL157/8)</f>
        <v/>
      </c>
      <c r="AP157" s="12" t="str">
        <f aca="false">IF(AM157="","",AM157/10)</f>
        <v/>
      </c>
      <c r="AQ157" s="12" t="str">
        <f aca="false">IF(AN157="","",AN157/8)</f>
        <v/>
      </c>
      <c r="AR157" s="11" t="str">
        <f aca="false">IF(A157="","",IF(OR(F157=1,G157=1,AND(E157&lt;&gt;"",E157&lt;=2)),2,IF(AND(E157&gt;=3,G157=2,OR(F157=2,F157=3)),1,"")))</f>
        <v/>
      </c>
      <c r="AS157" s="11" t="str">
        <f aca="false">IF(AR157=1,"טיפוסי",IF(AR157=2,"מתקשה",""))</f>
        <v/>
      </c>
      <c r="AT157" s="12" t="str">
        <f aca="false">IF(AR157=1,AO157,"")</f>
        <v/>
      </c>
      <c r="AU157" s="12" t="str">
        <f aca="false">IF(AR157=2,AO157,"")</f>
        <v/>
      </c>
      <c r="AV157" s="12" t="str">
        <f aca="false">IF(AR157=1,AP157,"")</f>
        <v/>
      </c>
      <c r="AW157" s="12" t="str">
        <f aca="false">IF(AR157=2,AP157,"")</f>
        <v/>
      </c>
      <c r="AX157" s="12" t="str">
        <f aca="false">IF(AR157=1,AQ157,"")</f>
        <v/>
      </c>
      <c r="AY157" s="12" t="str">
        <f aca="false">IF(AR157=2,AQ157,"")</f>
        <v/>
      </c>
    </row>
    <row r="158" customFormat="false" ht="15" hidden="false" customHeight="true" outlineLevel="0" collapsed="false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1" t="str">
        <f aca="false">IF(V158="","",6-V158)</f>
        <v/>
      </c>
      <c r="AI158" s="11" t="str">
        <f aca="false">IF(W158="","",6-W158)</f>
        <v/>
      </c>
      <c r="AJ158" s="11" t="str">
        <f aca="false">IF(X158="","",6-X158)</f>
        <v/>
      </c>
      <c r="AK158" s="11" t="str">
        <f aca="false">IF(Y158="","",6-Y158)</f>
        <v/>
      </c>
      <c r="AL158" s="11" t="str">
        <f aca="false">IF(COUNT(H158:O158)=8,SUM(H158:O158),"")</f>
        <v/>
      </c>
      <c r="AM158" s="11" t="str">
        <f aca="false">IF(COUNT(P158:U158,AH158:AK158)=10,SUM(P158:U158,AH158:AK158),"")</f>
        <v/>
      </c>
      <c r="AN158" s="11" t="str">
        <f aca="false">IF(COUNT(Z158:AG158)=8,SUM(Z158:AG158),"")</f>
        <v/>
      </c>
      <c r="AO158" s="12" t="str">
        <f aca="false">IF(AL158="","",AL158/8)</f>
        <v/>
      </c>
      <c r="AP158" s="12" t="str">
        <f aca="false">IF(AM158="","",AM158/10)</f>
        <v/>
      </c>
      <c r="AQ158" s="12" t="str">
        <f aca="false">IF(AN158="","",AN158/8)</f>
        <v/>
      </c>
      <c r="AR158" s="11" t="str">
        <f aca="false">IF(A158="","",IF(OR(F158=1,G158=1,AND(E158&lt;&gt;"",E158&lt;=2)),2,IF(AND(E158&gt;=3,G158=2,OR(F158=2,F158=3)),1,"")))</f>
        <v/>
      </c>
      <c r="AS158" s="11" t="str">
        <f aca="false">IF(AR158=1,"טיפוסי",IF(AR158=2,"מתקשה",""))</f>
        <v/>
      </c>
      <c r="AT158" s="12" t="str">
        <f aca="false">IF(AR158=1,AO158,"")</f>
        <v/>
      </c>
      <c r="AU158" s="12" t="str">
        <f aca="false">IF(AR158=2,AO158,"")</f>
        <v/>
      </c>
      <c r="AV158" s="12" t="str">
        <f aca="false">IF(AR158=1,AP158,"")</f>
        <v/>
      </c>
      <c r="AW158" s="12" t="str">
        <f aca="false">IF(AR158=2,AP158,"")</f>
        <v/>
      </c>
      <c r="AX158" s="12" t="str">
        <f aca="false">IF(AR158=1,AQ158,"")</f>
        <v/>
      </c>
      <c r="AY158" s="12" t="str">
        <f aca="false">IF(AR158=2,AQ158,"")</f>
        <v/>
      </c>
    </row>
    <row r="159" customFormat="false" ht="15" hidden="false" customHeight="true" outlineLevel="0" collapsed="false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1" t="str">
        <f aca="false">IF(V159="","",6-V159)</f>
        <v/>
      </c>
      <c r="AI159" s="11" t="str">
        <f aca="false">IF(W159="","",6-W159)</f>
        <v/>
      </c>
      <c r="AJ159" s="11" t="str">
        <f aca="false">IF(X159="","",6-X159)</f>
        <v/>
      </c>
      <c r="AK159" s="11" t="str">
        <f aca="false">IF(Y159="","",6-Y159)</f>
        <v/>
      </c>
      <c r="AL159" s="11" t="str">
        <f aca="false">IF(COUNT(H159:O159)=8,SUM(H159:O159),"")</f>
        <v/>
      </c>
      <c r="AM159" s="11" t="str">
        <f aca="false">IF(COUNT(P159:U159,AH159:AK159)=10,SUM(P159:U159,AH159:AK159),"")</f>
        <v/>
      </c>
      <c r="AN159" s="11" t="str">
        <f aca="false">IF(COUNT(Z159:AG159)=8,SUM(Z159:AG159),"")</f>
        <v/>
      </c>
      <c r="AO159" s="12" t="str">
        <f aca="false">IF(AL159="","",AL159/8)</f>
        <v/>
      </c>
      <c r="AP159" s="12" t="str">
        <f aca="false">IF(AM159="","",AM159/10)</f>
        <v/>
      </c>
      <c r="AQ159" s="12" t="str">
        <f aca="false">IF(AN159="","",AN159/8)</f>
        <v/>
      </c>
      <c r="AR159" s="11" t="str">
        <f aca="false">IF(A159="","",IF(OR(F159=1,G159=1,AND(E159&lt;&gt;"",E159&lt;=2)),2,IF(AND(E159&gt;=3,G159=2,OR(F159=2,F159=3)),1,"")))</f>
        <v/>
      </c>
      <c r="AS159" s="11" t="str">
        <f aca="false">IF(AR159=1,"טיפוסי",IF(AR159=2,"מתקשה",""))</f>
        <v/>
      </c>
      <c r="AT159" s="12" t="str">
        <f aca="false">IF(AR159=1,AO159,"")</f>
        <v/>
      </c>
      <c r="AU159" s="12" t="str">
        <f aca="false">IF(AR159=2,AO159,"")</f>
        <v/>
      </c>
      <c r="AV159" s="12" t="str">
        <f aca="false">IF(AR159=1,AP159,"")</f>
        <v/>
      </c>
      <c r="AW159" s="12" t="str">
        <f aca="false">IF(AR159=2,AP159,"")</f>
        <v/>
      </c>
      <c r="AX159" s="12" t="str">
        <f aca="false">IF(AR159=1,AQ159,"")</f>
        <v/>
      </c>
      <c r="AY159" s="12" t="str">
        <f aca="false">IF(AR159=2,AQ159,"")</f>
        <v/>
      </c>
    </row>
    <row r="160" customFormat="false" ht="15" hidden="false" customHeight="true" outlineLevel="0" collapsed="false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1" t="str">
        <f aca="false">IF(V160="","",6-V160)</f>
        <v/>
      </c>
      <c r="AI160" s="11" t="str">
        <f aca="false">IF(W160="","",6-W160)</f>
        <v/>
      </c>
      <c r="AJ160" s="11" t="str">
        <f aca="false">IF(X160="","",6-X160)</f>
        <v/>
      </c>
      <c r="AK160" s="11" t="str">
        <f aca="false">IF(Y160="","",6-Y160)</f>
        <v/>
      </c>
      <c r="AL160" s="11" t="str">
        <f aca="false">IF(COUNT(H160:O160)=8,SUM(H160:O160),"")</f>
        <v/>
      </c>
      <c r="AM160" s="11" t="str">
        <f aca="false">IF(COUNT(P160:U160,AH160:AK160)=10,SUM(P160:U160,AH160:AK160),"")</f>
        <v/>
      </c>
      <c r="AN160" s="11" t="str">
        <f aca="false">IF(COUNT(Z160:AG160)=8,SUM(Z160:AG160),"")</f>
        <v/>
      </c>
      <c r="AO160" s="12" t="str">
        <f aca="false">IF(AL160="","",AL160/8)</f>
        <v/>
      </c>
      <c r="AP160" s="12" t="str">
        <f aca="false">IF(AM160="","",AM160/10)</f>
        <v/>
      </c>
      <c r="AQ160" s="12" t="str">
        <f aca="false">IF(AN160="","",AN160/8)</f>
        <v/>
      </c>
      <c r="AR160" s="11" t="str">
        <f aca="false">IF(A160="","",IF(OR(F160=1,G160=1,AND(E160&lt;&gt;"",E160&lt;=2)),2,IF(AND(E160&gt;=3,G160=2,OR(F160=2,F160=3)),1,"")))</f>
        <v/>
      </c>
      <c r="AS160" s="11" t="str">
        <f aca="false">IF(AR160=1,"טיפוסי",IF(AR160=2,"מתקשה",""))</f>
        <v/>
      </c>
      <c r="AT160" s="12" t="str">
        <f aca="false">IF(AR160=1,AO160,"")</f>
        <v/>
      </c>
      <c r="AU160" s="12" t="str">
        <f aca="false">IF(AR160=2,AO160,"")</f>
        <v/>
      </c>
      <c r="AV160" s="12" t="str">
        <f aca="false">IF(AR160=1,AP160,"")</f>
        <v/>
      </c>
      <c r="AW160" s="12" t="str">
        <f aca="false">IF(AR160=2,AP160,"")</f>
        <v/>
      </c>
      <c r="AX160" s="12" t="str">
        <f aca="false">IF(AR160=1,AQ160,"")</f>
        <v/>
      </c>
      <c r="AY160" s="12" t="str">
        <f aca="false">IF(AR160=2,AQ160,"")</f>
        <v/>
      </c>
    </row>
    <row r="161" customFormat="false" ht="15" hidden="false" customHeight="true" outlineLevel="0" collapsed="false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1" t="str">
        <f aca="false">IF(V161="","",6-V161)</f>
        <v/>
      </c>
      <c r="AI161" s="11" t="str">
        <f aca="false">IF(W161="","",6-W161)</f>
        <v/>
      </c>
      <c r="AJ161" s="11" t="str">
        <f aca="false">IF(X161="","",6-X161)</f>
        <v/>
      </c>
      <c r="AK161" s="11" t="str">
        <f aca="false">IF(Y161="","",6-Y161)</f>
        <v/>
      </c>
      <c r="AL161" s="11" t="str">
        <f aca="false">IF(COUNT(H161:O161)=8,SUM(H161:O161),"")</f>
        <v/>
      </c>
      <c r="AM161" s="11" t="str">
        <f aca="false">IF(COUNT(P161:U161,AH161:AK161)=10,SUM(P161:U161,AH161:AK161),"")</f>
        <v/>
      </c>
      <c r="AN161" s="11" t="str">
        <f aca="false">IF(COUNT(Z161:AG161)=8,SUM(Z161:AG161),"")</f>
        <v/>
      </c>
      <c r="AO161" s="12" t="str">
        <f aca="false">IF(AL161="","",AL161/8)</f>
        <v/>
      </c>
      <c r="AP161" s="12" t="str">
        <f aca="false">IF(AM161="","",AM161/10)</f>
        <v/>
      </c>
      <c r="AQ161" s="12" t="str">
        <f aca="false">IF(AN161="","",AN161/8)</f>
        <v/>
      </c>
      <c r="AR161" s="11" t="str">
        <f aca="false">IF(A161="","",IF(OR(F161=1,G161=1,AND(E161&lt;&gt;"",E161&lt;=2)),2,IF(AND(E161&gt;=3,G161=2,OR(F161=2,F161=3)),1,"")))</f>
        <v/>
      </c>
      <c r="AS161" s="11" t="str">
        <f aca="false">IF(AR161=1,"טיפוסי",IF(AR161=2,"מתקשה",""))</f>
        <v/>
      </c>
      <c r="AT161" s="12" t="str">
        <f aca="false">IF(AR161=1,AO161,"")</f>
        <v/>
      </c>
      <c r="AU161" s="12" t="str">
        <f aca="false">IF(AR161=2,AO161,"")</f>
        <v/>
      </c>
      <c r="AV161" s="12" t="str">
        <f aca="false">IF(AR161=1,AP161,"")</f>
        <v/>
      </c>
      <c r="AW161" s="12" t="str">
        <f aca="false">IF(AR161=2,AP161,"")</f>
        <v/>
      </c>
      <c r="AX161" s="12" t="str">
        <f aca="false">IF(AR161=1,AQ161,"")</f>
        <v/>
      </c>
      <c r="AY161" s="12" t="str">
        <f aca="false">IF(AR161=2,AQ161,"")</f>
        <v/>
      </c>
    </row>
    <row r="162" customFormat="false" ht="15" hidden="false" customHeight="true" outlineLevel="0" collapsed="false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1" t="str">
        <f aca="false">IF(V162="","",6-V162)</f>
        <v/>
      </c>
      <c r="AI162" s="11" t="str">
        <f aca="false">IF(W162="","",6-W162)</f>
        <v/>
      </c>
      <c r="AJ162" s="11" t="str">
        <f aca="false">IF(X162="","",6-X162)</f>
        <v/>
      </c>
      <c r="AK162" s="11" t="str">
        <f aca="false">IF(Y162="","",6-Y162)</f>
        <v/>
      </c>
      <c r="AL162" s="11" t="str">
        <f aca="false">IF(COUNT(H162:O162)=8,SUM(H162:O162),"")</f>
        <v/>
      </c>
      <c r="AM162" s="11" t="str">
        <f aca="false">IF(COUNT(P162:U162,AH162:AK162)=10,SUM(P162:U162,AH162:AK162),"")</f>
        <v/>
      </c>
      <c r="AN162" s="11" t="str">
        <f aca="false">IF(COUNT(Z162:AG162)=8,SUM(Z162:AG162),"")</f>
        <v/>
      </c>
      <c r="AO162" s="12" t="str">
        <f aca="false">IF(AL162="","",AL162/8)</f>
        <v/>
      </c>
      <c r="AP162" s="12" t="str">
        <f aca="false">IF(AM162="","",AM162/10)</f>
        <v/>
      </c>
      <c r="AQ162" s="12" t="str">
        <f aca="false">IF(AN162="","",AN162/8)</f>
        <v/>
      </c>
      <c r="AR162" s="11" t="str">
        <f aca="false">IF(A162="","",IF(OR(F162=1,G162=1,AND(E162&lt;&gt;"",E162&lt;=2)),2,IF(AND(E162&gt;=3,G162=2,OR(F162=2,F162=3)),1,"")))</f>
        <v/>
      </c>
      <c r="AS162" s="11" t="str">
        <f aca="false">IF(AR162=1,"טיפוסי",IF(AR162=2,"מתקשה",""))</f>
        <v/>
      </c>
      <c r="AT162" s="12" t="str">
        <f aca="false">IF(AR162=1,AO162,"")</f>
        <v/>
      </c>
      <c r="AU162" s="12" t="str">
        <f aca="false">IF(AR162=2,AO162,"")</f>
        <v/>
      </c>
      <c r="AV162" s="12" t="str">
        <f aca="false">IF(AR162=1,AP162,"")</f>
        <v/>
      </c>
      <c r="AW162" s="12" t="str">
        <f aca="false">IF(AR162=2,AP162,"")</f>
        <v/>
      </c>
      <c r="AX162" s="12" t="str">
        <f aca="false">IF(AR162=1,AQ162,"")</f>
        <v/>
      </c>
      <c r="AY162" s="12" t="str">
        <f aca="false">IF(AR162=2,AQ162,"")</f>
        <v/>
      </c>
    </row>
    <row r="163" customFormat="false" ht="15" hidden="false" customHeight="true" outlineLevel="0" collapsed="false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1" t="str">
        <f aca="false">IF(V163="","",6-V163)</f>
        <v/>
      </c>
      <c r="AI163" s="11" t="str">
        <f aca="false">IF(W163="","",6-W163)</f>
        <v/>
      </c>
      <c r="AJ163" s="11" t="str">
        <f aca="false">IF(X163="","",6-X163)</f>
        <v/>
      </c>
      <c r="AK163" s="11" t="str">
        <f aca="false">IF(Y163="","",6-Y163)</f>
        <v/>
      </c>
      <c r="AL163" s="11" t="str">
        <f aca="false">IF(COUNT(H163:O163)=8,SUM(H163:O163),"")</f>
        <v/>
      </c>
      <c r="AM163" s="11" t="str">
        <f aca="false">IF(COUNT(P163:U163,AH163:AK163)=10,SUM(P163:U163,AH163:AK163),"")</f>
        <v/>
      </c>
      <c r="AN163" s="11" t="str">
        <f aca="false">IF(COUNT(Z163:AG163)=8,SUM(Z163:AG163),"")</f>
        <v/>
      </c>
      <c r="AO163" s="12" t="str">
        <f aca="false">IF(AL163="","",AL163/8)</f>
        <v/>
      </c>
      <c r="AP163" s="12" t="str">
        <f aca="false">IF(AM163="","",AM163/10)</f>
        <v/>
      </c>
      <c r="AQ163" s="12" t="str">
        <f aca="false">IF(AN163="","",AN163/8)</f>
        <v/>
      </c>
      <c r="AR163" s="11" t="str">
        <f aca="false">IF(A163="","",IF(OR(F163=1,G163=1,AND(E163&lt;&gt;"",E163&lt;=2)),2,IF(AND(E163&gt;=3,G163=2,OR(F163=2,F163=3)),1,"")))</f>
        <v/>
      </c>
      <c r="AS163" s="11" t="str">
        <f aca="false">IF(AR163=1,"טיפוסי",IF(AR163=2,"מתקשה",""))</f>
        <v/>
      </c>
      <c r="AT163" s="12" t="str">
        <f aca="false">IF(AR163=1,AO163,"")</f>
        <v/>
      </c>
      <c r="AU163" s="12" t="str">
        <f aca="false">IF(AR163=2,AO163,"")</f>
        <v/>
      </c>
      <c r="AV163" s="12" t="str">
        <f aca="false">IF(AR163=1,AP163,"")</f>
        <v/>
      </c>
      <c r="AW163" s="12" t="str">
        <f aca="false">IF(AR163=2,AP163,"")</f>
        <v/>
      </c>
      <c r="AX163" s="12" t="str">
        <f aca="false">IF(AR163=1,AQ163,"")</f>
        <v/>
      </c>
      <c r="AY163" s="12" t="str">
        <f aca="false">IF(AR163=2,AQ163,"")</f>
        <v/>
      </c>
    </row>
    <row r="164" customFormat="false" ht="15" hidden="false" customHeight="true" outlineLevel="0" collapsed="false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1" t="str">
        <f aca="false">IF(V164="","",6-V164)</f>
        <v/>
      </c>
      <c r="AI164" s="11" t="str">
        <f aca="false">IF(W164="","",6-W164)</f>
        <v/>
      </c>
      <c r="AJ164" s="11" t="str">
        <f aca="false">IF(X164="","",6-X164)</f>
        <v/>
      </c>
      <c r="AK164" s="11" t="str">
        <f aca="false">IF(Y164="","",6-Y164)</f>
        <v/>
      </c>
      <c r="AL164" s="11" t="str">
        <f aca="false">IF(COUNT(H164:O164)=8,SUM(H164:O164),"")</f>
        <v/>
      </c>
      <c r="AM164" s="11" t="str">
        <f aca="false">IF(COUNT(P164:U164,AH164:AK164)=10,SUM(P164:U164,AH164:AK164),"")</f>
        <v/>
      </c>
      <c r="AN164" s="11" t="str">
        <f aca="false">IF(COUNT(Z164:AG164)=8,SUM(Z164:AG164),"")</f>
        <v/>
      </c>
      <c r="AO164" s="12" t="str">
        <f aca="false">IF(AL164="","",AL164/8)</f>
        <v/>
      </c>
      <c r="AP164" s="12" t="str">
        <f aca="false">IF(AM164="","",AM164/10)</f>
        <v/>
      </c>
      <c r="AQ164" s="12" t="str">
        <f aca="false">IF(AN164="","",AN164/8)</f>
        <v/>
      </c>
      <c r="AR164" s="11" t="str">
        <f aca="false">IF(A164="","",IF(OR(F164=1,G164=1,AND(E164&lt;&gt;"",E164&lt;=2)),2,IF(AND(E164&gt;=3,G164=2,OR(F164=2,F164=3)),1,"")))</f>
        <v/>
      </c>
      <c r="AS164" s="11" t="str">
        <f aca="false">IF(AR164=1,"טיפוסי",IF(AR164=2,"מתקשה",""))</f>
        <v/>
      </c>
      <c r="AT164" s="12" t="str">
        <f aca="false">IF(AR164=1,AO164,"")</f>
        <v/>
      </c>
      <c r="AU164" s="12" t="str">
        <f aca="false">IF(AR164=2,AO164,"")</f>
        <v/>
      </c>
      <c r="AV164" s="12" t="str">
        <f aca="false">IF(AR164=1,AP164,"")</f>
        <v/>
      </c>
      <c r="AW164" s="12" t="str">
        <f aca="false">IF(AR164=2,AP164,"")</f>
        <v/>
      </c>
      <c r="AX164" s="12" t="str">
        <f aca="false">IF(AR164=1,AQ164,"")</f>
        <v/>
      </c>
      <c r="AY164" s="12" t="str">
        <f aca="false">IF(AR164=2,AQ164,"")</f>
        <v/>
      </c>
    </row>
    <row r="165" customFormat="false" ht="15" hidden="false" customHeight="true" outlineLevel="0" collapsed="false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1" t="str">
        <f aca="false">IF(V165="","",6-V165)</f>
        <v/>
      </c>
      <c r="AI165" s="11" t="str">
        <f aca="false">IF(W165="","",6-W165)</f>
        <v/>
      </c>
      <c r="AJ165" s="11" t="str">
        <f aca="false">IF(X165="","",6-X165)</f>
        <v/>
      </c>
      <c r="AK165" s="11" t="str">
        <f aca="false">IF(Y165="","",6-Y165)</f>
        <v/>
      </c>
      <c r="AL165" s="11" t="str">
        <f aca="false">IF(COUNT(H165:O165)=8,SUM(H165:O165),"")</f>
        <v/>
      </c>
      <c r="AM165" s="11" t="str">
        <f aca="false">IF(COUNT(P165:U165,AH165:AK165)=10,SUM(P165:U165,AH165:AK165),"")</f>
        <v/>
      </c>
      <c r="AN165" s="11" t="str">
        <f aca="false">IF(COUNT(Z165:AG165)=8,SUM(Z165:AG165),"")</f>
        <v/>
      </c>
      <c r="AO165" s="12" t="str">
        <f aca="false">IF(AL165="","",AL165/8)</f>
        <v/>
      </c>
      <c r="AP165" s="12" t="str">
        <f aca="false">IF(AM165="","",AM165/10)</f>
        <v/>
      </c>
      <c r="AQ165" s="12" t="str">
        <f aca="false">IF(AN165="","",AN165/8)</f>
        <v/>
      </c>
      <c r="AR165" s="11" t="str">
        <f aca="false">IF(A165="","",IF(OR(F165=1,G165=1,AND(E165&lt;&gt;"",E165&lt;=2)),2,IF(AND(E165&gt;=3,G165=2,OR(F165=2,F165=3)),1,"")))</f>
        <v/>
      </c>
      <c r="AS165" s="11" t="str">
        <f aca="false">IF(AR165=1,"טיפוסי",IF(AR165=2,"מתקשה",""))</f>
        <v/>
      </c>
      <c r="AT165" s="12" t="str">
        <f aca="false">IF(AR165=1,AO165,"")</f>
        <v/>
      </c>
      <c r="AU165" s="12" t="str">
        <f aca="false">IF(AR165=2,AO165,"")</f>
        <v/>
      </c>
      <c r="AV165" s="12" t="str">
        <f aca="false">IF(AR165=1,AP165,"")</f>
        <v/>
      </c>
      <c r="AW165" s="12" t="str">
        <f aca="false">IF(AR165=2,AP165,"")</f>
        <v/>
      </c>
      <c r="AX165" s="12" t="str">
        <f aca="false">IF(AR165=1,AQ165,"")</f>
        <v/>
      </c>
      <c r="AY165" s="12" t="str">
        <f aca="false">IF(AR165=2,AQ165,"")</f>
        <v/>
      </c>
    </row>
    <row r="166" customFormat="false" ht="15" hidden="false" customHeight="true" outlineLevel="0" collapsed="false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1" t="str">
        <f aca="false">IF(V166="","",6-V166)</f>
        <v/>
      </c>
      <c r="AI166" s="11" t="str">
        <f aca="false">IF(W166="","",6-W166)</f>
        <v/>
      </c>
      <c r="AJ166" s="11" t="str">
        <f aca="false">IF(X166="","",6-X166)</f>
        <v/>
      </c>
      <c r="AK166" s="11" t="str">
        <f aca="false">IF(Y166="","",6-Y166)</f>
        <v/>
      </c>
      <c r="AL166" s="11" t="str">
        <f aca="false">IF(COUNT(H166:O166)=8,SUM(H166:O166),"")</f>
        <v/>
      </c>
      <c r="AM166" s="11" t="str">
        <f aca="false">IF(COUNT(P166:U166,AH166:AK166)=10,SUM(P166:U166,AH166:AK166),"")</f>
        <v/>
      </c>
      <c r="AN166" s="11" t="str">
        <f aca="false">IF(COUNT(Z166:AG166)=8,SUM(Z166:AG166),"")</f>
        <v/>
      </c>
      <c r="AO166" s="12" t="str">
        <f aca="false">IF(AL166="","",AL166/8)</f>
        <v/>
      </c>
      <c r="AP166" s="12" t="str">
        <f aca="false">IF(AM166="","",AM166/10)</f>
        <v/>
      </c>
      <c r="AQ166" s="12" t="str">
        <f aca="false">IF(AN166="","",AN166/8)</f>
        <v/>
      </c>
      <c r="AR166" s="11" t="str">
        <f aca="false">IF(A166="","",IF(OR(F166=1,G166=1,AND(E166&lt;&gt;"",E166&lt;=2)),2,IF(AND(E166&gt;=3,G166=2,OR(F166=2,F166=3)),1,"")))</f>
        <v/>
      </c>
      <c r="AS166" s="11" t="str">
        <f aca="false">IF(AR166=1,"טיפוסי",IF(AR166=2,"מתקשה",""))</f>
        <v/>
      </c>
      <c r="AT166" s="12" t="str">
        <f aca="false">IF(AR166=1,AO166,"")</f>
        <v/>
      </c>
      <c r="AU166" s="12" t="str">
        <f aca="false">IF(AR166=2,AO166,"")</f>
        <v/>
      </c>
      <c r="AV166" s="12" t="str">
        <f aca="false">IF(AR166=1,AP166,"")</f>
        <v/>
      </c>
      <c r="AW166" s="12" t="str">
        <f aca="false">IF(AR166=2,AP166,"")</f>
        <v/>
      </c>
      <c r="AX166" s="12" t="str">
        <f aca="false">IF(AR166=1,AQ166,"")</f>
        <v/>
      </c>
      <c r="AY166" s="12" t="str">
        <f aca="false">IF(AR166=2,AQ166,"")</f>
        <v/>
      </c>
    </row>
    <row r="167" customFormat="false" ht="15" hidden="false" customHeight="true" outlineLevel="0" collapsed="false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1" t="str">
        <f aca="false">IF(V167="","",6-V167)</f>
        <v/>
      </c>
      <c r="AI167" s="11" t="str">
        <f aca="false">IF(W167="","",6-W167)</f>
        <v/>
      </c>
      <c r="AJ167" s="11" t="str">
        <f aca="false">IF(X167="","",6-X167)</f>
        <v/>
      </c>
      <c r="AK167" s="11" t="str">
        <f aca="false">IF(Y167="","",6-Y167)</f>
        <v/>
      </c>
      <c r="AL167" s="11" t="str">
        <f aca="false">IF(COUNT(H167:O167)=8,SUM(H167:O167),"")</f>
        <v/>
      </c>
      <c r="AM167" s="11" t="str">
        <f aca="false">IF(COUNT(P167:U167,AH167:AK167)=10,SUM(P167:U167,AH167:AK167),"")</f>
        <v/>
      </c>
      <c r="AN167" s="11" t="str">
        <f aca="false">IF(COUNT(Z167:AG167)=8,SUM(Z167:AG167),"")</f>
        <v/>
      </c>
      <c r="AO167" s="12" t="str">
        <f aca="false">IF(AL167="","",AL167/8)</f>
        <v/>
      </c>
      <c r="AP167" s="12" t="str">
        <f aca="false">IF(AM167="","",AM167/10)</f>
        <v/>
      </c>
      <c r="AQ167" s="12" t="str">
        <f aca="false">IF(AN167="","",AN167/8)</f>
        <v/>
      </c>
      <c r="AR167" s="11" t="str">
        <f aca="false">IF(A167="","",IF(OR(F167=1,G167=1,AND(E167&lt;&gt;"",E167&lt;=2)),2,IF(AND(E167&gt;=3,G167=2,OR(F167=2,F167=3)),1,"")))</f>
        <v/>
      </c>
      <c r="AS167" s="11" t="str">
        <f aca="false">IF(AR167=1,"טיפוסי",IF(AR167=2,"מתקשה",""))</f>
        <v/>
      </c>
      <c r="AT167" s="12" t="str">
        <f aca="false">IF(AR167=1,AO167,"")</f>
        <v/>
      </c>
      <c r="AU167" s="12" t="str">
        <f aca="false">IF(AR167=2,AO167,"")</f>
        <v/>
      </c>
      <c r="AV167" s="12" t="str">
        <f aca="false">IF(AR167=1,AP167,"")</f>
        <v/>
      </c>
      <c r="AW167" s="12" t="str">
        <f aca="false">IF(AR167=2,AP167,"")</f>
        <v/>
      </c>
      <c r="AX167" s="12" t="str">
        <f aca="false">IF(AR167=1,AQ167,"")</f>
        <v/>
      </c>
      <c r="AY167" s="12" t="str">
        <f aca="false">IF(AR167=2,AQ167,"")</f>
        <v/>
      </c>
    </row>
    <row r="168" customFormat="false" ht="15" hidden="false" customHeight="true" outlineLevel="0" collapsed="false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1" t="str">
        <f aca="false">IF(V168="","",6-V168)</f>
        <v/>
      </c>
      <c r="AI168" s="11" t="str">
        <f aca="false">IF(W168="","",6-W168)</f>
        <v/>
      </c>
      <c r="AJ168" s="11" t="str">
        <f aca="false">IF(X168="","",6-X168)</f>
        <v/>
      </c>
      <c r="AK168" s="11" t="str">
        <f aca="false">IF(Y168="","",6-Y168)</f>
        <v/>
      </c>
      <c r="AL168" s="11" t="str">
        <f aca="false">IF(COUNT(H168:O168)=8,SUM(H168:O168),"")</f>
        <v/>
      </c>
      <c r="AM168" s="11" t="str">
        <f aca="false">IF(COUNT(P168:U168,AH168:AK168)=10,SUM(P168:U168,AH168:AK168),"")</f>
        <v/>
      </c>
      <c r="AN168" s="11" t="str">
        <f aca="false">IF(COUNT(Z168:AG168)=8,SUM(Z168:AG168),"")</f>
        <v/>
      </c>
      <c r="AO168" s="12" t="str">
        <f aca="false">IF(AL168="","",AL168/8)</f>
        <v/>
      </c>
      <c r="AP168" s="12" t="str">
        <f aca="false">IF(AM168="","",AM168/10)</f>
        <v/>
      </c>
      <c r="AQ168" s="12" t="str">
        <f aca="false">IF(AN168="","",AN168/8)</f>
        <v/>
      </c>
      <c r="AR168" s="11" t="str">
        <f aca="false">IF(A168="","",IF(OR(F168=1,G168=1,AND(E168&lt;&gt;"",E168&lt;=2)),2,IF(AND(E168&gt;=3,G168=2,OR(F168=2,F168=3)),1,"")))</f>
        <v/>
      </c>
      <c r="AS168" s="11" t="str">
        <f aca="false">IF(AR168=1,"טיפוסי",IF(AR168=2,"מתקשה",""))</f>
        <v/>
      </c>
      <c r="AT168" s="12" t="str">
        <f aca="false">IF(AR168=1,AO168,"")</f>
        <v/>
      </c>
      <c r="AU168" s="12" t="str">
        <f aca="false">IF(AR168=2,AO168,"")</f>
        <v/>
      </c>
      <c r="AV168" s="12" t="str">
        <f aca="false">IF(AR168=1,AP168,"")</f>
        <v/>
      </c>
      <c r="AW168" s="12" t="str">
        <f aca="false">IF(AR168=2,AP168,"")</f>
        <v/>
      </c>
      <c r="AX168" s="12" t="str">
        <f aca="false">IF(AR168=1,AQ168,"")</f>
        <v/>
      </c>
      <c r="AY168" s="12" t="str">
        <f aca="false">IF(AR168=2,AQ168,"")</f>
        <v/>
      </c>
    </row>
    <row r="169" customFormat="false" ht="15" hidden="false" customHeight="true" outlineLevel="0" collapsed="false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1" t="str">
        <f aca="false">IF(V169="","",6-V169)</f>
        <v/>
      </c>
      <c r="AI169" s="11" t="str">
        <f aca="false">IF(W169="","",6-W169)</f>
        <v/>
      </c>
      <c r="AJ169" s="11" t="str">
        <f aca="false">IF(X169="","",6-X169)</f>
        <v/>
      </c>
      <c r="AK169" s="11" t="str">
        <f aca="false">IF(Y169="","",6-Y169)</f>
        <v/>
      </c>
      <c r="AL169" s="11" t="str">
        <f aca="false">IF(COUNT(H169:O169)=8,SUM(H169:O169),"")</f>
        <v/>
      </c>
      <c r="AM169" s="11" t="str">
        <f aca="false">IF(COUNT(P169:U169,AH169:AK169)=10,SUM(P169:U169,AH169:AK169),"")</f>
        <v/>
      </c>
      <c r="AN169" s="11" t="str">
        <f aca="false">IF(COUNT(Z169:AG169)=8,SUM(Z169:AG169),"")</f>
        <v/>
      </c>
      <c r="AO169" s="12" t="str">
        <f aca="false">IF(AL169="","",AL169/8)</f>
        <v/>
      </c>
      <c r="AP169" s="12" t="str">
        <f aca="false">IF(AM169="","",AM169/10)</f>
        <v/>
      </c>
      <c r="AQ169" s="12" t="str">
        <f aca="false">IF(AN169="","",AN169/8)</f>
        <v/>
      </c>
      <c r="AR169" s="11" t="str">
        <f aca="false">IF(A169="","",IF(OR(F169=1,G169=1,AND(E169&lt;&gt;"",E169&lt;=2)),2,IF(AND(E169&gt;=3,G169=2,OR(F169=2,F169=3)),1,"")))</f>
        <v/>
      </c>
      <c r="AS169" s="11" t="str">
        <f aca="false">IF(AR169=1,"טיפוסי",IF(AR169=2,"מתקשה",""))</f>
        <v/>
      </c>
      <c r="AT169" s="12" t="str">
        <f aca="false">IF(AR169=1,AO169,"")</f>
        <v/>
      </c>
      <c r="AU169" s="12" t="str">
        <f aca="false">IF(AR169=2,AO169,"")</f>
        <v/>
      </c>
      <c r="AV169" s="12" t="str">
        <f aca="false">IF(AR169=1,AP169,"")</f>
        <v/>
      </c>
      <c r="AW169" s="12" t="str">
        <f aca="false">IF(AR169=2,AP169,"")</f>
        <v/>
      </c>
      <c r="AX169" s="12" t="str">
        <f aca="false">IF(AR169=1,AQ169,"")</f>
        <v/>
      </c>
      <c r="AY169" s="12" t="str">
        <f aca="false">IF(AR169=2,AQ169,"")</f>
        <v/>
      </c>
    </row>
    <row r="170" customFormat="false" ht="15" hidden="false" customHeight="true" outlineLevel="0" collapsed="false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1" t="str">
        <f aca="false">IF(V170="","",6-V170)</f>
        <v/>
      </c>
      <c r="AI170" s="11" t="str">
        <f aca="false">IF(W170="","",6-W170)</f>
        <v/>
      </c>
      <c r="AJ170" s="11" t="str">
        <f aca="false">IF(X170="","",6-X170)</f>
        <v/>
      </c>
      <c r="AK170" s="11" t="str">
        <f aca="false">IF(Y170="","",6-Y170)</f>
        <v/>
      </c>
      <c r="AL170" s="11" t="str">
        <f aca="false">IF(COUNT(H170:O170)=8,SUM(H170:O170),"")</f>
        <v/>
      </c>
      <c r="AM170" s="11" t="str">
        <f aca="false">IF(COUNT(P170:U170,AH170:AK170)=10,SUM(P170:U170,AH170:AK170),"")</f>
        <v/>
      </c>
      <c r="AN170" s="11" t="str">
        <f aca="false">IF(COUNT(Z170:AG170)=8,SUM(Z170:AG170),"")</f>
        <v/>
      </c>
      <c r="AO170" s="12" t="str">
        <f aca="false">IF(AL170="","",AL170/8)</f>
        <v/>
      </c>
      <c r="AP170" s="12" t="str">
        <f aca="false">IF(AM170="","",AM170/10)</f>
        <v/>
      </c>
      <c r="AQ170" s="12" t="str">
        <f aca="false">IF(AN170="","",AN170/8)</f>
        <v/>
      </c>
      <c r="AR170" s="11" t="str">
        <f aca="false">IF(A170="","",IF(OR(F170=1,G170=1,AND(E170&lt;&gt;"",E170&lt;=2)),2,IF(AND(E170&gt;=3,G170=2,OR(F170=2,F170=3)),1,"")))</f>
        <v/>
      </c>
      <c r="AS170" s="11" t="str">
        <f aca="false">IF(AR170=1,"טיפוסי",IF(AR170=2,"מתקשה",""))</f>
        <v/>
      </c>
      <c r="AT170" s="12" t="str">
        <f aca="false">IF(AR170=1,AO170,"")</f>
        <v/>
      </c>
      <c r="AU170" s="12" t="str">
        <f aca="false">IF(AR170=2,AO170,"")</f>
        <v/>
      </c>
      <c r="AV170" s="12" t="str">
        <f aca="false">IF(AR170=1,AP170,"")</f>
        <v/>
      </c>
      <c r="AW170" s="12" t="str">
        <f aca="false">IF(AR170=2,AP170,"")</f>
        <v/>
      </c>
      <c r="AX170" s="12" t="str">
        <f aca="false">IF(AR170=1,AQ170,"")</f>
        <v/>
      </c>
      <c r="AY170" s="12" t="str">
        <f aca="false">IF(AR170=2,AQ170,"")</f>
        <v/>
      </c>
    </row>
    <row r="171" customFormat="false" ht="15" hidden="false" customHeight="true" outlineLevel="0" collapsed="false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1" t="str">
        <f aca="false">IF(V171="","",6-V171)</f>
        <v/>
      </c>
      <c r="AI171" s="11" t="str">
        <f aca="false">IF(W171="","",6-W171)</f>
        <v/>
      </c>
      <c r="AJ171" s="11" t="str">
        <f aca="false">IF(X171="","",6-X171)</f>
        <v/>
      </c>
      <c r="AK171" s="11" t="str">
        <f aca="false">IF(Y171="","",6-Y171)</f>
        <v/>
      </c>
      <c r="AL171" s="11" t="str">
        <f aca="false">IF(COUNT(H171:O171)=8,SUM(H171:O171),"")</f>
        <v/>
      </c>
      <c r="AM171" s="11" t="str">
        <f aca="false">IF(COUNT(P171:U171,AH171:AK171)=10,SUM(P171:U171,AH171:AK171),"")</f>
        <v/>
      </c>
      <c r="AN171" s="11" t="str">
        <f aca="false">IF(COUNT(Z171:AG171)=8,SUM(Z171:AG171),"")</f>
        <v/>
      </c>
      <c r="AO171" s="12" t="str">
        <f aca="false">IF(AL171="","",AL171/8)</f>
        <v/>
      </c>
      <c r="AP171" s="12" t="str">
        <f aca="false">IF(AM171="","",AM171/10)</f>
        <v/>
      </c>
      <c r="AQ171" s="12" t="str">
        <f aca="false">IF(AN171="","",AN171/8)</f>
        <v/>
      </c>
      <c r="AR171" s="11" t="str">
        <f aca="false">IF(A171="","",IF(OR(F171=1,G171=1,AND(E171&lt;&gt;"",E171&lt;=2)),2,IF(AND(E171&gt;=3,G171=2,OR(F171=2,F171=3)),1,"")))</f>
        <v/>
      </c>
      <c r="AS171" s="11" t="str">
        <f aca="false">IF(AR171=1,"טיפוסי",IF(AR171=2,"מתקשה",""))</f>
        <v/>
      </c>
      <c r="AT171" s="12" t="str">
        <f aca="false">IF(AR171=1,AO171,"")</f>
        <v/>
      </c>
      <c r="AU171" s="12" t="str">
        <f aca="false">IF(AR171=2,AO171,"")</f>
        <v/>
      </c>
      <c r="AV171" s="12" t="str">
        <f aca="false">IF(AR171=1,AP171,"")</f>
        <v/>
      </c>
      <c r="AW171" s="12" t="str">
        <f aca="false">IF(AR171=2,AP171,"")</f>
        <v/>
      </c>
      <c r="AX171" s="12" t="str">
        <f aca="false">IF(AR171=1,AQ171,"")</f>
        <v/>
      </c>
      <c r="AY171" s="12" t="str">
        <f aca="false">IF(AR171=2,AQ171,"")</f>
        <v/>
      </c>
    </row>
    <row r="172" customFormat="false" ht="15" hidden="false" customHeight="true" outlineLevel="0" collapsed="false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1" t="str">
        <f aca="false">IF(V172="","",6-V172)</f>
        <v/>
      </c>
      <c r="AI172" s="11" t="str">
        <f aca="false">IF(W172="","",6-W172)</f>
        <v/>
      </c>
      <c r="AJ172" s="11" t="str">
        <f aca="false">IF(X172="","",6-X172)</f>
        <v/>
      </c>
      <c r="AK172" s="11" t="str">
        <f aca="false">IF(Y172="","",6-Y172)</f>
        <v/>
      </c>
      <c r="AL172" s="11" t="str">
        <f aca="false">IF(COUNT(H172:O172)=8,SUM(H172:O172),"")</f>
        <v/>
      </c>
      <c r="AM172" s="11" t="str">
        <f aca="false">IF(COUNT(P172:U172,AH172:AK172)=10,SUM(P172:U172,AH172:AK172),"")</f>
        <v/>
      </c>
      <c r="AN172" s="11" t="str">
        <f aca="false">IF(COUNT(Z172:AG172)=8,SUM(Z172:AG172),"")</f>
        <v/>
      </c>
      <c r="AO172" s="12" t="str">
        <f aca="false">IF(AL172="","",AL172/8)</f>
        <v/>
      </c>
      <c r="AP172" s="12" t="str">
        <f aca="false">IF(AM172="","",AM172/10)</f>
        <v/>
      </c>
      <c r="AQ172" s="12" t="str">
        <f aca="false">IF(AN172="","",AN172/8)</f>
        <v/>
      </c>
      <c r="AR172" s="11" t="str">
        <f aca="false">IF(A172="","",IF(OR(F172=1,G172=1,AND(E172&lt;&gt;"",E172&lt;=2)),2,IF(AND(E172&gt;=3,G172=2,OR(F172=2,F172=3)),1,"")))</f>
        <v/>
      </c>
      <c r="AS172" s="11" t="str">
        <f aca="false">IF(AR172=1,"טיפוסי",IF(AR172=2,"מתקשה",""))</f>
        <v/>
      </c>
      <c r="AT172" s="12" t="str">
        <f aca="false">IF(AR172=1,AO172,"")</f>
        <v/>
      </c>
      <c r="AU172" s="12" t="str">
        <f aca="false">IF(AR172=2,AO172,"")</f>
        <v/>
      </c>
      <c r="AV172" s="12" t="str">
        <f aca="false">IF(AR172=1,AP172,"")</f>
        <v/>
      </c>
      <c r="AW172" s="12" t="str">
        <f aca="false">IF(AR172=2,AP172,"")</f>
        <v/>
      </c>
      <c r="AX172" s="12" t="str">
        <f aca="false">IF(AR172=1,AQ172,"")</f>
        <v/>
      </c>
      <c r="AY172" s="12" t="str">
        <f aca="false">IF(AR172=2,AQ172,"")</f>
        <v/>
      </c>
    </row>
    <row r="173" customFormat="false" ht="15" hidden="false" customHeight="true" outlineLevel="0" collapsed="false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1" t="str">
        <f aca="false">IF(V173="","",6-V173)</f>
        <v/>
      </c>
      <c r="AI173" s="11" t="str">
        <f aca="false">IF(W173="","",6-W173)</f>
        <v/>
      </c>
      <c r="AJ173" s="11" t="str">
        <f aca="false">IF(X173="","",6-X173)</f>
        <v/>
      </c>
      <c r="AK173" s="11" t="str">
        <f aca="false">IF(Y173="","",6-Y173)</f>
        <v/>
      </c>
      <c r="AL173" s="11" t="str">
        <f aca="false">IF(COUNT(H173:O173)=8,SUM(H173:O173),"")</f>
        <v/>
      </c>
      <c r="AM173" s="11" t="str">
        <f aca="false">IF(COUNT(P173:U173,AH173:AK173)=10,SUM(P173:U173,AH173:AK173),"")</f>
        <v/>
      </c>
      <c r="AN173" s="11" t="str">
        <f aca="false">IF(COUNT(Z173:AG173)=8,SUM(Z173:AG173),"")</f>
        <v/>
      </c>
      <c r="AO173" s="12" t="str">
        <f aca="false">IF(AL173="","",AL173/8)</f>
        <v/>
      </c>
      <c r="AP173" s="12" t="str">
        <f aca="false">IF(AM173="","",AM173/10)</f>
        <v/>
      </c>
      <c r="AQ173" s="12" t="str">
        <f aca="false">IF(AN173="","",AN173/8)</f>
        <v/>
      </c>
      <c r="AR173" s="11" t="str">
        <f aca="false">IF(A173="","",IF(OR(F173=1,G173=1,AND(E173&lt;&gt;"",E173&lt;=2)),2,IF(AND(E173&gt;=3,G173=2,OR(F173=2,F173=3)),1,"")))</f>
        <v/>
      </c>
      <c r="AS173" s="11" t="str">
        <f aca="false">IF(AR173=1,"טיפוסי",IF(AR173=2,"מתקשה",""))</f>
        <v/>
      </c>
      <c r="AT173" s="12" t="str">
        <f aca="false">IF(AR173=1,AO173,"")</f>
        <v/>
      </c>
      <c r="AU173" s="12" t="str">
        <f aca="false">IF(AR173=2,AO173,"")</f>
        <v/>
      </c>
      <c r="AV173" s="12" t="str">
        <f aca="false">IF(AR173=1,AP173,"")</f>
        <v/>
      </c>
      <c r="AW173" s="12" t="str">
        <f aca="false">IF(AR173=2,AP173,"")</f>
        <v/>
      </c>
      <c r="AX173" s="12" t="str">
        <f aca="false">IF(AR173=1,AQ173,"")</f>
        <v/>
      </c>
      <c r="AY173" s="12" t="str">
        <f aca="false">IF(AR173=2,AQ173,"")</f>
        <v/>
      </c>
    </row>
    <row r="174" customFormat="false" ht="15" hidden="false" customHeight="true" outlineLevel="0" collapsed="false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1" t="str">
        <f aca="false">IF(V174="","",6-V174)</f>
        <v/>
      </c>
      <c r="AI174" s="11" t="str">
        <f aca="false">IF(W174="","",6-W174)</f>
        <v/>
      </c>
      <c r="AJ174" s="11" t="str">
        <f aca="false">IF(X174="","",6-X174)</f>
        <v/>
      </c>
      <c r="AK174" s="11" t="str">
        <f aca="false">IF(Y174="","",6-Y174)</f>
        <v/>
      </c>
      <c r="AL174" s="11" t="str">
        <f aca="false">IF(COUNT(H174:O174)=8,SUM(H174:O174),"")</f>
        <v/>
      </c>
      <c r="AM174" s="11" t="str">
        <f aca="false">IF(COUNT(P174:U174,AH174:AK174)=10,SUM(P174:U174,AH174:AK174),"")</f>
        <v/>
      </c>
      <c r="AN174" s="11" t="str">
        <f aca="false">IF(COUNT(Z174:AG174)=8,SUM(Z174:AG174),"")</f>
        <v/>
      </c>
      <c r="AO174" s="12" t="str">
        <f aca="false">IF(AL174="","",AL174/8)</f>
        <v/>
      </c>
      <c r="AP174" s="12" t="str">
        <f aca="false">IF(AM174="","",AM174/10)</f>
        <v/>
      </c>
      <c r="AQ174" s="12" t="str">
        <f aca="false">IF(AN174="","",AN174/8)</f>
        <v/>
      </c>
      <c r="AR174" s="11" t="str">
        <f aca="false">IF(A174="","",IF(OR(F174=1,G174=1,AND(E174&lt;&gt;"",E174&lt;=2)),2,IF(AND(E174&gt;=3,G174=2,OR(F174=2,F174=3)),1,"")))</f>
        <v/>
      </c>
      <c r="AS174" s="11" t="str">
        <f aca="false">IF(AR174=1,"טיפוסי",IF(AR174=2,"מתקשה",""))</f>
        <v/>
      </c>
      <c r="AT174" s="12" t="str">
        <f aca="false">IF(AR174=1,AO174,"")</f>
        <v/>
      </c>
      <c r="AU174" s="12" t="str">
        <f aca="false">IF(AR174=2,AO174,"")</f>
        <v/>
      </c>
      <c r="AV174" s="12" t="str">
        <f aca="false">IF(AR174=1,AP174,"")</f>
        <v/>
      </c>
      <c r="AW174" s="12" t="str">
        <f aca="false">IF(AR174=2,AP174,"")</f>
        <v/>
      </c>
      <c r="AX174" s="12" t="str">
        <f aca="false">IF(AR174=1,AQ174,"")</f>
        <v/>
      </c>
      <c r="AY174" s="12" t="str">
        <f aca="false">IF(AR174=2,AQ174,"")</f>
        <v/>
      </c>
    </row>
    <row r="175" customFormat="false" ht="15" hidden="false" customHeight="true" outlineLevel="0" collapsed="false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1" t="str">
        <f aca="false">IF(V175="","",6-V175)</f>
        <v/>
      </c>
      <c r="AI175" s="11" t="str">
        <f aca="false">IF(W175="","",6-W175)</f>
        <v/>
      </c>
      <c r="AJ175" s="11" t="str">
        <f aca="false">IF(X175="","",6-X175)</f>
        <v/>
      </c>
      <c r="AK175" s="11" t="str">
        <f aca="false">IF(Y175="","",6-Y175)</f>
        <v/>
      </c>
      <c r="AL175" s="11" t="str">
        <f aca="false">IF(COUNT(H175:O175)=8,SUM(H175:O175),"")</f>
        <v/>
      </c>
      <c r="AM175" s="11" t="str">
        <f aca="false">IF(COUNT(P175:U175,AH175:AK175)=10,SUM(P175:U175,AH175:AK175),"")</f>
        <v/>
      </c>
      <c r="AN175" s="11" t="str">
        <f aca="false">IF(COUNT(Z175:AG175)=8,SUM(Z175:AG175),"")</f>
        <v/>
      </c>
      <c r="AO175" s="12" t="str">
        <f aca="false">IF(AL175="","",AL175/8)</f>
        <v/>
      </c>
      <c r="AP175" s="12" t="str">
        <f aca="false">IF(AM175="","",AM175/10)</f>
        <v/>
      </c>
      <c r="AQ175" s="12" t="str">
        <f aca="false">IF(AN175="","",AN175/8)</f>
        <v/>
      </c>
      <c r="AR175" s="11" t="str">
        <f aca="false">IF(A175="","",IF(OR(F175=1,G175=1,AND(E175&lt;&gt;"",E175&lt;=2)),2,IF(AND(E175&gt;=3,G175=2,OR(F175=2,F175=3)),1,"")))</f>
        <v/>
      </c>
      <c r="AS175" s="11" t="str">
        <f aca="false">IF(AR175=1,"טיפוסי",IF(AR175=2,"מתקשה",""))</f>
        <v/>
      </c>
      <c r="AT175" s="12" t="str">
        <f aca="false">IF(AR175=1,AO175,"")</f>
        <v/>
      </c>
      <c r="AU175" s="12" t="str">
        <f aca="false">IF(AR175=2,AO175,"")</f>
        <v/>
      </c>
      <c r="AV175" s="12" t="str">
        <f aca="false">IF(AR175=1,AP175,"")</f>
        <v/>
      </c>
      <c r="AW175" s="12" t="str">
        <f aca="false">IF(AR175=2,AP175,"")</f>
        <v/>
      </c>
      <c r="AX175" s="12" t="str">
        <f aca="false">IF(AR175=1,AQ175,"")</f>
        <v/>
      </c>
      <c r="AY175" s="12" t="str">
        <f aca="false">IF(AR175=2,AQ175,"")</f>
        <v/>
      </c>
    </row>
    <row r="176" customFormat="false" ht="15" hidden="false" customHeight="true" outlineLevel="0" collapsed="false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1" t="str">
        <f aca="false">IF(V176="","",6-V176)</f>
        <v/>
      </c>
      <c r="AI176" s="11" t="str">
        <f aca="false">IF(W176="","",6-W176)</f>
        <v/>
      </c>
      <c r="AJ176" s="11" t="str">
        <f aca="false">IF(X176="","",6-X176)</f>
        <v/>
      </c>
      <c r="AK176" s="11" t="str">
        <f aca="false">IF(Y176="","",6-Y176)</f>
        <v/>
      </c>
      <c r="AL176" s="11" t="str">
        <f aca="false">IF(COUNT(H176:O176)=8,SUM(H176:O176),"")</f>
        <v/>
      </c>
      <c r="AM176" s="11" t="str">
        <f aca="false">IF(COUNT(P176:U176,AH176:AK176)=10,SUM(P176:U176,AH176:AK176),"")</f>
        <v/>
      </c>
      <c r="AN176" s="11" t="str">
        <f aca="false">IF(COUNT(Z176:AG176)=8,SUM(Z176:AG176),"")</f>
        <v/>
      </c>
      <c r="AO176" s="12" t="str">
        <f aca="false">IF(AL176="","",AL176/8)</f>
        <v/>
      </c>
      <c r="AP176" s="12" t="str">
        <f aca="false">IF(AM176="","",AM176/10)</f>
        <v/>
      </c>
      <c r="AQ176" s="12" t="str">
        <f aca="false">IF(AN176="","",AN176/8)</f>
        <v/>
      </c>
      <c r="AR176" s="11" t="str">
        <f aca="false">IF(A176="","",IF(OR(F176=1,G176=1,AND(E176&lt;&gt;"",E176&lt;=2)),2,IF(AND(E176&gt;=3,G176=2,OR(F176=2,F176=3)),1,"")))</f>
        <v/>
      </c>
      <c r="AS176" s="11" t="str">
        <f aca="false">IF(AR176=1,"טיפוסי",IF(AR176=2,"מתקשה",""))</f>
        <v/>
      </c>
      <c r="AT176" s="12" t="str">
        <f aca="false">IF(AR176=1,AO176,"")</f>
        <v/>
      </c>
      <c r="AU176" s="12" t="str">
        <f aca="false">IF(AR176=2,AO176,"")</f>
        <v/>
      </c>
      <c r="AV176" s="12" t="str">
        <f aca="false">IF(AR176=1,AP176,"")</f>
        <v/>
      </c>
      <c r="AW176" s="12" t="str">
        <f aca="false">IF(AR176=2,AP176,"")</f>
        <v/>
      </c>
      <c r="AX176" s="12" t="str">
        <f aca="false">IF(AR176=1,AQ176,"")</f>
        <v/>
      </c>
      <c r="AY176" s="12" t="str">
        <f aca="false">IF(AR176=2,AQ176,"")</f>
        <v/>
      </c>
    </row>
    <row r="177" customFormat="false" ht="15" hidden="false" customHeight="true" outlineLevel="0" collapsed="false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1" t="str">
        <f aca="false">IF(V177="","",6-V177)</f>
        <v/>
      </c>
      <c r="AI177" s="11" t="str">
        <f aca="false">IF(W177="","",6-W177)</f>
        <v/>
      </c>
      <c r="AJ177" s="11" t="str">
        <f aca="false">IF(X177="","",6-X177)</f>
        <v/>
      </c>
      <c r="AK177" s="11" t="str">
        <f aca="false">IF(Y177="","",6-Y177)</f>
        <v/>
      </c>
      <c r="AL177" s="11" t="str">
        <f aca="false">IF(COUNT(H177:O177)=8,SUM(H177:O177),"")</f>
        <v/>
      </c>
      <c r="AM177" s="11" t="str">
        <f aca="false">IF(COUNT(P177:U177,AH177:AK177)=10,SUM(P177:U177,AH177:AK177),"")</f>
        <v/>
      </c>
      <c r="AN177" s="11" t="str">
        <f aca="false">IF(COUNT(Z177:AG177)=8,SUM(Z177:AG177),"")</f>
        <v/>
      </c>
      <c r="AO177" s="12" t="str">
        <f aca="false">IF(AL177="","",AL177/8)</f>
        <v/>
      </c>
      <c r="AP177" s="12" t="str">
        <f aca="false">IF(AM177="","",AM177/10)</f>
        <v/>
      </c>
      <c r="AQ177" s="12" t="str">
        <f aca="false">IF(AN177="","",AN177/8)</f>
        <v/>
      </c>
      <c r="AR177" s="11" t="str">
        <f aca="false">IF(A177="","",IF(OR(F177=1,G177=1,AND(E177&lt;&gt;"",E177&lt;=2)),2,IF(AND(E177&gt;=3,G177=2,OR(F177=2,F177=3)),1,"")))</f>
        <v/>
      </c>
      <c r="AS177" s="11" t="str">
        <f aca="false">IF(AR177=1,"טיפוסי",IF(AR177=2,"מתקשה",""))</f>
        <v/>
      </c>
      <c r="AT177" s="12" t="str">
        <f aca="false">IF(AR177=1,AO177,"")</f>
        <v/>
      </c>
      <c r="AU177" s="12" t="str">
        <f aca="false">IF(AR177=2,AO177,"")</f>
        <v/>
      </c>
      <c r="AV177" s="12" t="str">
        <f aca="false">IF(AR177=1,AP177,"")</f>
        <v/>
      </c>
      <c r="AW177" s="12" t="str">
        <f aca="false">IF(AR177=2,AP177,"")</f>
        <v/>
      </c>
      <c r="AX177" s="12" t="str">
        <f aca="false">IF(AR177=1,AQ177,"")</f>
        <v/>
      </c>
      <c r="AY177" s="12" t="str">
        <f aca="false">IF(AR177=2,AQ177,"")</f>
        <v/>
      </c>
    </row>
    <row r="178" customFormat="false" ht="15" hidden="false" customHeight="true" outlineLevel="0" collapsed="false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1" t="str">
        <f aca="false">IF(V178="","",6-V178)</f>
        <v/>
      </c>
      <c r="AI178" s="11" t="str">
        <f aca="false">IF(W178="","",6-W178)</f>
        <v/>
      </c>
      <c r="AJ178" s="11" t="str">
        <f aca="false">IF(X178="","",6-X178)</f>
        <v/>
      </c>
      <c r="AK178" s="11" t="str">
        <f aca="false">IF(Y178="","",6-Y178)</f>
        <v/>
      </c>
      <c r="AL178" s="11" t="str">
        <f aca="false">IF(COUNT(H178:O178)=8,SUM(H178:O178),"")</f>
        <v/>
      </c>
      <c r="AM178" s="11" t="str">
        <f aca="false">IF(COUNT(P178:U178,AH178:AK178)=10,SUM(P178:U178,AH178:AK178),"")</f>
        <v/>
      </c>
      <c r="AN178" s="11" t="str">
        <f aca="false">IF(COUNT(Z178:AG178)=8,SUM(Z178:AG178),"")</f>
        <v/>
      </c>
      <c r="AO178" s="12" t="str">
        <f aca="false">IF(AL178="","",AL178/8)</f>
        <v/>
      </c>
      <c r="AP178" s="12" t="str">
        <f aca="false">IF(AM178="","",AM178/10)</f>
        <v/>
      </c>
      <c r="AQ178" s="12" t="str">
        <f aca="false">IF(AN178="","",AN178/8)</f>
        <v/>
      </c>
      <c r="AR178" s="11" t="str">
        <f aca="false">IF(A178="","",IF(OR(F178=1,G178=1,AND(E178&lt;&gt;"",E178&lt;=2)),2,IF(AND(E178&gt;=3,G178=2,OR(F178=2,F178=3)),1,"")))</f>
        <v/>
      </c>
      <c r="AS178" s="11" t="str">
        <f aca="false">IF(AR178=1,"טיפוסי",IF(AR178=2,"מתקשה",""))</f>
        <v/>
      </c>
      <c r="AT178" s="12" t="str">
        <f aca="false">IF(AR178=1,AO178,"")</f>
        <v/>
      </c>
      <c r="AU178" s="12" t="str">
        <f aca="false">IF(AR178=2,AO178,"")</f>
        <v/>
      </c>
      <c r="AV178" s="12" t="str">
        <f aca="false">IF(AR178=1,AP178,"")</f>
        <v/>
      </c>
      <c r="AW178" s="12" t="str">
        <f aca="false">IF(AR178=2,AP178,"")</f>
        <v/>
      </c>
      <c r="AX178" s="12" t="str">
        <f aca="false">IF(AR178=1,AQ178,"")</f>
        <v/>
      </c>
      <c r="AY178" s="12" t="str">
        <f aca="false">IF(AR178=2,AQ178,"")</f>
        <v/>
      </c>
    </row>
    <row r="179" customFormat="false" ht="15" hidden="false" customHeight="true" outlineLevel="0" collapsed="false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1" t="str">
        <f aca="false">IF(V179="","",6-V179)</f>
        <v/>
      </c>
      <c r="AI179" s="11" t="str">
        <f aca="false">IF(W179="","",6-W179)</f>
        <v/>
      </c>
      <c r="AJ179" s="11" t="str">
        <f aca="false">IF(X179="","",6-X179)</f>
        <v/>
      </c>
      <c r="AK179" s="11" t="str">
        <f aca="false">IF(Y179="","",6-Y179)</f>
        <v/>
      </c>
      <c r="AL179" s="11" t="str">
        <f aca="false">IF(COUNT(H179:O179)=8,SUM(H179:O179),"")</f>
        <v/>
      </c>
      <c r="AM179" s="11" t="str">
        <f aca="false">IF(COUNT(P179:U179,AH179:AK179)=10,SUM(P179:U179,AH179:AK179),"")</f>
        <v/>
      </c>
      <c r="AN179" s="11" t="str">
        <f aca="false">IF(COUNT(Z179:AG179)=8,SUM(Z179:AG179),"")</f>
        <v/>
      </c>
      <c r="AO179" s="12" t="str">
        <f aca="false">IF(AL179="","",AL179/8)</f>
        <v/>
      </c>
      <c r="AP179" s="12" t="str">
        <f aca="false">IF(AM179="","",AM179/10)</f>
        <v/>
      </c>
      <c r="AQ179" s="12" t="str">
        <f aca="false">IF(AN179="","",AN179/8)</f>
        <v/>
      </c>
      <c r="AR179" s="11" t="str">
        <f aca="false">IF(A179="","",IF(OR(F179=1,G179=1,AND(E179&lt;&gt;"",E179&lt;=2)),2,IF(AND(E179&gt;=3,G179=2,OR(F179=2,F179=3)),1,"")))</f>
        <v/>
      </c>
      <c r="AS179" s="11" t="str">
        <f aca="false">IF(AR179=1,"טיפוסי",IF(AR179=2,"מתקשה",""))</f>
        <v/>
      </c>
      <c r="AT179" s="12" t="str">
        <f aca="false">IF(AR179=1,AO179,"")</f>
        <v/>
      </c>
      <c r="AU179" s="12" t="str">
        <f aca="false">IF(AR179=2,AO179,"")</f>
        <v/>
      </c>
      <c r="AV179" s="12" t="str">
        <f aca="false">IF(AR179=1,AP179,"")</f>
        <v/>
      </c>
      <c r="AW179" s="12" t="str">
        <f aca="false">IF(AR179=2,AP179,"")</f>
        <v/>
      </c>
      <c r="AX179" s="12" t="str">
        <f aca="false">IF(AR179=1,AQ179,"")</f>
        <v/>
      </c>
      <c r="AY179" s="12" t="str">
        <f aca="false">IF(AR179=2,AQ179,"")</f>
        <v/>
      </c>
    </row>
    <row r="180" customFormat="false" ht="15" hidden="false" customHeight="true" outlineLevel="0" collapsed="false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1" t="str">
        <f aca="false">IF(V180="","",6-V180)</f>
        <v/>
      </c>
      <c r="AI180" s="11" t="str">
        <f aca="false">IF(W180="","",6-W180)</f>
        <v/>
      </c>
      <c r="AJ180" s="11" t="str">
        <f aca="false">IF(X180="","",6-X180)</f>
        <v/>
      </c>
      <c r="AK180" s="11" t="str">
        <f aca="false">IF(Y180="","",6-Y180)</f>
        <v/>
      </c>
      <c r="AL180" s="11" t="str">
        <f aca="false">IF(COUNT(H180:O180)=8,SUM(H180:O180),"")</f>
        <v/>
      </c>
      <c r="AM180" s="11" t="str">
        <f aca="false">IF(COUNT(P180:U180,AH180:AK180)=10,SUM(P180:U180,AH180:AK180),"")</f>
        <v/>
      </c>
      <c r="AN180" s="11" t="str">
        <f aca="false">IF(COUNT(Z180:AG180)=8,SUM(Z180:AG180),"")</f>
        <v/>
      </c>
      <c r="AO180" s="12" t="str">
        <f aca="false">IF(AL180="","",AL180/8)</f>
        <v/>
      </c>
      <c r="AP180" s="12" t="str">
        <f aca="false">IF(AM180="","",AM180/10)</f>
        <v/>
      </c>
      <c r="AQ180" s="12" t="str">
        <f aca="false">IF(AN180="","",AN180/8)</f>
        <v/>
      </c>
      <c r="AR180" s="11" t="str">
        <f aca="false">IF(A180="","",IF(OR(F180=1,G180=1,AND(E180&lt;&gt;"",E180&lt;=2)),2,IF(AND(E180&gt;=3,G180=2,OR(F180=2,F180=3)),1,"")))</f>
        <v/>
      </c>
      <c r="AS180" s="11" t="str">
        <f aca="false">IF(AR180=1,"טיפוסי",IF(AR180=2,"מתקשה",""))</f>
        <v/>
      </c>
      <c r="AT180" s="12" t="str">
        <f aca="false">IF(AR180=1,AO180,"")</f>
        <v/>
      </c>
      <c r="AU180" s="12" t="str">
        <f aca="false">IF(AR180=2,AO180,"")</f>
        <v/>
      </c>
      <c r="AV180" s="12" t="str">
        <f aca="false">IF(AR180=1,AP180,"")</f>
        <v/>
      </c>
      <c r="AW180" s="12" t="str">
        <f aca="false">IF(AR180=2,AP180,"")</f>
        <v/>
      </c>
      <c r="AX180" s="12" t="str">
        <f aca="false">IF(AR180=1,AQ180,"")</f>
        <v/>
      </c>
      <c r="AY180" s="12" t="str">
        <f aca="false">IF(AR180=2,AQ180,"")</f>
        <v/>
      </c>
    </row>
    <row r="181" customFormat="false" ht="15" hidden="false" customHeight="true" outlineLevel="0" collapsed="false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1" t="str">
        <f aca="false">IF(V181="","",6-V181)</f>
        <v/>
      </c>
      <c r="AI181" s="11" t="str">
        <f aca="false">IF(W181="","",6-W181)</f>
        <v/>
      </c>
      <c r="AJ181" s="11" t="str">
        <f aca="false">IF(X181="","",6-X181)</f>
        <v/>
      </c>
      <c r="AK181" s="11" t="str">
        <f aca="false">IF(Y181="","",6-Y181)</f>
        <v/>
      </c>
      <c r="AL181" s="11" t="str">
        <f aca="false">IF(COUNT(H181:O181)=8,SUM(H181:O181),"")</f>
        <v/>
      </c>
      <c r="AM181" s="11" t="str">
        <f aca="false">IF(COUNT(P181:U181,AH181:AK181)=10,SUM(P181:U181,AH181:AK181),"")</f>
        <v/>
      </c>
      <c r="AN181" s="11" t="str">
        <f aca="false">IF(COUNT(Z181:AG181)=8,SUM(Z181:AG181),"")</f>
        <v/>
      </c>
      <c r="AO181" s="12" t="str">
        <f aca="false">IF(AL181="","",AL181/8)</f>
        <v/>
      </c>
      <c r="AP181" s="12" t="str">
        <f aca="false">IF(AM181="","",AM181/10)</f>
        <v/>
      </c>
      <c r="AQ181" s="12" t="str">
        <f aca="false">IF(AN181="","",AN181/8)</f>
        <v/>
      </c>
      <c r="AR181" s="11" t="str">
        <f aca="false">IF(A181="","",IF(OR(F181=1,G181=1,AND(E181&lt;&gt;"",E181&lt;=2)),2,IF(AND(E181&gt;=3,G181=2,OR(F181=2,F181=3)),1,"")))</f>
        <v/>
      </c>
      <c r="AS181" s="11" t="str">
        <f aca="false">IF(AR181=1,"טיפוסי",IF(AR181=2,"מתקשה",""))</f>
        <v/>
      </c>
      <c r="AT181" s="12" t="str">
        <f aca="false">IF(AR181=1,AO181,"")</f>
        <v/>
      </c>
      <c r="AU181" s="12" t="str">
        <f aca="false">IF(AR181=2,AO181,"")</f>
        <v/>
      </c>
      <c r="AV181" s="12" t="str">
        <f aca="false">IF(AR181=1,AP181,"")</f>
        <v/>
      </c>
      <c r="AW181" s="12" t="str">
        <f aca="false">IF(AR181=2,AP181,"")</f>
        <v/>
      </c>
      <c r="AX181" s="12" t="str">
        <f aca="false">IF(AR181=1,AQ181,"")</f>
        <v/>
      </c>
      <c r="AY181" s="12" t="str">
        <f aca="false">IF(AR181=2,AQ181,"")</f>
        <v/>
      </c>
    </row>
    <row r="182" customFormat="false" ht="15" hidden="false" customHeight="true" outlineLevel="0" collapsed="false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1" t="str">
        <f aca="false">IF(V182="","",6-V182)</f>
        <v/>
      </c>
      <c r="AI182" s="11" t="str">
        <f aca="false">IF(W182="","",6-W182)</f>
        <v/>
      </c>
      <c r="AJ182" s="11" t="str">
        <f aca="false">IF(X182="","",6-X182)</f>
        <v/>
      </c>
      <c r="AK182" s="11" t="str">
        <f aca="false">IF(Y182="","",6-Y182)</f>
        <v/>
      </c>
      <c r="AL182" s="11" t="str">
        <f aca="false">IF(COUNT(H182:O182)=8,SUM(H182:O182),"")</f>
        <v/>
      </c>
      <c r="AM182" s="11" t="str">
        <f aca="false">IF(COUNT(P182:U182,AH182:AK182)=10,SUM(P182:U182,AH182:AK182),"")</f>
        <v/>
      </c>
      <c r="AN182" s="11" t="str">
        <f aca="false">IF(COUNT(Z182:AG182)=8,SUM(Z182:AG182),"")</f>
        <v/>
      </c>
      <c r="AO182" s="12" t="str">
        <f aca="false">IF(AL182="","",AL182/8)</f>
        <v/>
      </c>
      <c r="AP182" s="12" t="str">
        <f aca="false">IF(AM182="","",AM182/10)</f>
        <v/>
      </c>
      <c r="AQ182" s="12" t="str">
        <f aca="false">IF(AN182="","",AN182/8)</f>
        <v/>
      </c>
      <c r="AR182" s="11" t="str">
        <f aca="false">IF(A182="","",IF(OR(F182=1,G182=1,AND(E182&lt;&gt;"",E182&lt;=2)),2,IF(AND(E182&gt;=3,G182=2,OR(F182=2,F182=3)),1,"")))</f>
        <v/>
      </c>
      <c r="AS182" s="11" t="str">
        <f aca="false">IF(AR182=1,"טיפוסי",IF(AR182=2,"מתקשה",""))</f>
        <v/>
      </c>
      <c r="AT182" s="12" t="str">
        <f aca="false">IF(AR182=1,AO182,"")</f>
        <v/>
      </c>
      <c r="AU182" s="12" t="str">
        <f aca="false">IF(AR182=2,AO182,"")</f>
        <v/>
      </c>
      <c r="AV182" s="12" t="str">
        <f aca="false">IF(AR182=1,AP182,"")</f>
        <v/>
      </c>
      <c r="AW182" s="12" t="str">
        <f aca="false">IF(AR182=2,AP182,"")</f>
        <v/>
      </c>
      <c r="AX182" s="12" t="str">
        <f aca="false">IF(AR182=1,AQ182,"")</f>
        <v/>
      </c>
      <c r="AY182" s="12" t="str">
        <f aca="false">IF(AR182=2,AQ182,"")</f>
        <v/>
      </c>
    </row>
    <row r="183" customFormat="false" ht="15" hidden="false" customHeight="true" outlineLevel="0" collapsed="false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1" t="str">
        <f aca="false">IF(V183="","",6-V183)</f>
        <v/>
      </c>
      <c r="AI183" s="11" t="str">
        <f aca="false">IF(W183="","",6-W183)</f>
        <v/>
      </c>
      <c r="AJ183" s="11" t="str">
        <f aca="false">IF(X183="","",6-X183)</f>
        <v/>
      </c>
      <c r="AK183" s="11" t="str">
        <f aca="false">IF(Y183="","",6-Y183)</f>
        <v/>
      </c>
      <c r="AL183" s="11" t="str">
        <f aca="false">IF(COUNT(H183:O183)=8,SUM(H183:O183),"")</f>
        <v/>
      </c>
      <c r="AM183" s="11" t="str">
        <f aca="false">IF(COUNT(P183:U183,AH183:AK183)=10,SUM(P183:U183,AH183:AK183),"")</f>
        <v/>
      </c>
      <c r="AN183" s="11" t="str">
        <f aca="false">IF(COUNT(Z183:AG183)=8,SUM(Z183:AG183),"")</f>
        <v/>
      </c>
      <c r="AO183" s="12" t="str">
        <f aca="false">IF(AL183="","",AL183/8)</f>
        <v/>
      </c>
      <c r="AP183" s="12" t="str">
        <f aca="false">IF(AM183="","",AM183/10)</f>
        <v/>
      </c>
      <c r="AQ183" s="12" t="str">
        <f aca="false">IF(AN183="","",AN183/8)</f>
        <v/>
      </c>
      <c r="AR183" s="11" t="str">
        <f aca="false">IF(A183="","",IF(OR(F183=1,G183=1,AND(E183&lt;&gt;"",E183&lt;=2)),2,IF(AND(E183&gt;=3,G183=2,OR(F183=2,F183=3)),1,"")))</f>
        <v/>
      </c>
      <c r="AS183" s="11" t="str">
        <f aca="false">IF(AR183=1,"טיפוסי",IF(AR183=2,"מתקשה",""))</f>
        <v/>
      </c>
      <c r="AT183" s="12" t="str">
        <f aca="false">IF(AR183=1,AO183,"")</f>
        <v/>
      </c>
      <c r="AU183" s="12" t="str">
        <f aca="false">IF(AR183=2,AO183,"")</f>
        <v/>
      </c>
      <c r="AV183" s="12" t="str">
        <f aca="false">IF(AR183=1,AP183,"")</f>
        <v/>
      </c>
      <c r="AW183" s="12" t="str">
        <f aca="false">IF(AR183=2,AP183,"")</f>
        <v/>
      </c>
      <c r="AX183" s="12" t="str">
        <f aca="false">IF(AR183=1,AQ183,"")</f>
        <v/>
      </c>
      <c r="AY183" s="12" t="str">
        <f aca="false">IF(AR183=2,AQ183,"")</f>
        <v/>
      </c>
    </row>
    <row r="184" customFormat="false" ht="15" hidden="false" customHeight="true" outlineLevel="0" collapsed="false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1" t="str">
        <f aca="false">IF(V184="","",6-V184)</f>
        <v/>
      </c>
      <c r="AI184" s="11" t="str">
        <f aca="false">IF(W184="","",6-W184)</f>
        <v/>
      </c>
      <c r="AJ184" s="11" t="str">
        <f aca="false">IF(X184="","",6-X184)</f>
        <v/>
      </c>
      <c r="AK184" s="11" t="str">
        <f aca="false">IF(Y184="","",6-Y184)</f>
        <v/>
      </c>
      <c r="AL184" s="11" t="str">
        <f aca="false">IF(COUNT(H184:O184)=8,SUM(H184:O184),"")</f>
        <v/>
      </c>
      <c r="AM184" s="11" t="str">
        <f aca="false">IF(COUNT(P184:U184,AH184:AK184)=10,SUM(P184:U184,AH184:AK184),"")</f>
        <v/>
      </c>
      <c r="AN184" s="11" t="str">
        <f aca="false">IF(COUNT(Z184:AG184)=8,SUM(Z184:AG184),"")</f>
        <v/>
      </c>
      <c r="AO184" s="12" t="str">
        <f aca="false">IF(AL184="","",AL184/8)</f>
        <v/>
      </c>
      <c r="AP184" s="12" t="str">
        <f aca="false">IF(AM184="","",AM184/10)</f>
        <v/>
      </c>
      <c r="AQ184" s="12" t="str">
        <f aca="false">IF(AN184="","",AN184/8)</f>
        <v/>
      </c>
      <c r="AR184" s="11" t="str">
        <f aca="false">IF(A184="","",IF(OR(F184=1,G184=1,AND(E184&lt;&gt;"",E184&lt;=2)),2,IF(AND(E184&gt;=3,G184=2,OR(F184=2,F184=3)),1,"")))</f>
        <v/>
      </c>
      <c r="AS184" s="11" t="str">
        <f aca="false">IF(AR184=1,"טיפוסי",IF(AR184=2,"מתקשה",""))</f>
        <v/>
      </c>
      <c r="AT184" s="12" t="str">
        <f aca="false">IF(AR184=1,AO184,"")</f>
        <v/>
      </c>
      <c r="AU184" s="12" t="str">
        <f aca="false">IF(AR184=2,AO184,"")</f>
        <v/>
      </c>
      <c r="AV184" s="12" t="str">
        <f aca="false">IF(AR184=1,AP184,"")</f>
        <v/>
      </c>
      <c r="AW184" s="12" t="str">
        <f aca="false">IF(AR184=2,AP184,"")</f>
        <v/>
      </c>
      <c r="AX184" s="12" t="str">
        <f aca="false">IF(AR184=1,AQ184,"")</f>
        <v/>
      </c>
      <c r="AY184" s="12" t="str">
        <f aca="false">IF(AR184=2,AQ184,"")</f>
        <v/>
      </c>
    </row>
    <row r="185" customFormat="false" ht="15" hidden="false" customHeight="true" outlineLevel="0" collapsed="false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1" t="str">
        <f aca="false">IF(V185="","",6-V185)</f>
        <v/>
      </c>
      <c r="AI185" s="11" t="str">
        <f aca="false">IF(W185="","",6-W185)</f>
        <v/>
      </c>
      <c r="AJ185" s="11" t="str">
        <f aca="false">IF(X185="","",6-X185)</f>
        <v/>
      </c>
      <c r="AK185" s="11" t="str">
        <f aca="false">IF(Y185="","",6-Y185)</f>
        <v/>
      </c>
      <c r="AL185" s="11" t="str">
        <f aca="false">IF(COUNT(H185:O185)=8,SUM(H185:O185),"")</f>
        <v/>
      </c>
      <c r="AM185" s="11" t="str">
        <f aca="false">IF(COUNT(P185:U185,AH185:AK185)=10,SUM(P185:U185,AH185:AK185),"")</f>
        <v/>
      </c>
      <c r="AN185" s="11" t="str">
        <f aca="false">IF(COUNT(Z185:AG185)=8,SUM(Z185:AG185),"")</f>
        <v/>
      </c>
      <c r="AO185" s="12" t="str">
        <f aca="false">IF(AL185="","",AL185/8)</f>
        <v/>
      </c>
      <c r="AP185" s="12" t="str">
        <f aca="false">IF(AM185="","",AM185/10)</f>
        <v/>
      </c>
      <c r="AQ185" s="12" t="str">
        <f aca="false">IF(AN185="","",AN185/8)</f>
        <v/>
      </c>
      <c r="AR185" s="11" t="str">
        <f aca="false">IF(A185="","",IF(OR(F185=1,G185=1,AND(E185&lt;&gt;"",E185&lt;=2)),2,IF(AND(E185&gt;=3,G185=2,OR(F185=2,F185=3)),1,"")))</f>
        <v/>
      </c>
      <c r="AS185" s="11" t="str">
        <f aca="false">IF(AR185=1,"טיפוסי",IF(AR185=2,"מתקשה",""))</f>
        <v/>
      </c>
      <c r="AT185" s="12" t="str">
        <f aca="false">IF(AR185=1,AO185,"")</f>
        <v/>
      </c>
      <c r="AU185" s="12" t="str">
        <f aca="false">IF(AR185=2,AO185,"")</f>
        <v/>
      </c>
      <c r="AV185" s="12" t="str">
        <f aca="false">IF(AR185=1,AP185,"")</f>
        <v/>
      </c>
      <c r="AW185" s="12" t="str">
        <f aca="false">IF(AR185=2,AP185,"")</f>
        <v/>
      </c>
      <c r="AX185" s="12" t="str">
        <f aca="false">IF(AR185=1,AQ185,"")</f>
        <v/>
      </c>
      <c r="AY185" s="12" t="str">
        <f aca="false">IF(AR185=2,AQ185,"")</f>
        <v/>
      </c>
    </row>
    <row r="186" customFormat="false" ht="15" hidden="false" customHeight="true" outlineLevel="0" collapsed="false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1" t="str">
        <f aca="false">IF(V186="","",6-V186)</f>
        <v/>
      </c>
      <c r="AI186" s="11" t="str">
        <f aca="false">IF(W186="","",6-W186)</f>
        <v/>
      </c>
      <c r="AJ186" s="11" t="str">
        <f aca="false">IF(X186="","",6-X186)</f>
        <v/>
      </c>
      <c r="AK186" s="11" t="str">
        <f aca="false">IF(Y186="","",6-Y186)</f>
        <v/>
      </c>
      <c r="AL186" s="11" t="str">
        <f aca="false">IF(COUNT(H186:O186)=8,SUM(H186:O186),"")</f>
        <v/>
      </c>
      <c r="AM186" s="11" t="str">
        <f aca="false">IF(COUNT(P186:U186,AH186:AK186)=10,SUM(P186:U186,AH186:AK186),"")</f>
        <v/>
      </c>
      <c r="AN186" s="11" t="str">
        <f aca="false">IF(COUNT(Z186:AG186)=8,SUM(Z186:AG186),"")</f>
        <v/>
      </c>
      <c r="AO186" s="12" t="str">
        <f aca="false">IF(AL186="","",AL186/8)</f>
        <v/>
      </c>
      <c r="AP186" s="12" t="str">
        <f aca="false">IF(AM186="","",AM186/10)</f>
        <v/>
      </c>
      <c r="AQ186" s="12" t="str">
        <f aca="false">IF(AN186="","",AN186/8)</f>
        <v/>
      </c>
      <c r="AR186" s="11" t="str">
        <f aca="false">IF(A186="","",IF(OR(F186=1,G186=1,AND(E186&lt;&gt;"",E186&lt;=2)),2,IF(AND(E186&gt;=3,G186=2,OR(F186=2,F186=3)),1,"")))</f>
        <v/>
      </c>
      <c r="AS186" s="11" t="str">
        <f aca="false">IF(AR186=1,"טיפוסי",IF(AR186=2,"מתקשה",""))</f>
        <v/>
      </c>
      <c r="AT186" s="12" t="str">
        <f aca="false">IF(AR186=1,AO186,"")</f>
        <v/>
      </c>
      <c r="AU186" s="12" t="str">
        <f aca="false">IF(AR186=2,AO186,"")</f>
        <v/>
      </c>
      <c r="AV186" s="12" t="str">
        <f aca="false">IF(AR186=1,AP186,"")</f>
        <v/>
      </c>
      <c r="AW186" s="12" t="str">
        <f aca="false">IF(AR186=2,AP186,"")</f>
        <v/>
      </c>
      <c r="AX186" s="12" t="str">
        <f aca="false">IF(AR186=1,AQ186,"")</f>
        <v/>
      </c>
      <c r="AY186" s="12" t="str">
        <f aca="false">IF(AR186=2,AQ186,"")</f>
        <v/>
      </c>
    </row>
    <row r="187" customFormat="false" ht="15" hidden="false" customHeight="true" outlineLevel="0" collapsed="false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1" t="str">
        <f aca="false">IF(V187="","",6-V187)</f>
        <v/>
      </c>
      <c r="AI187" s="11" t="str">
        <f aca="false">IF(W187="","",6-W187)</f>
        <v/>
      </c>
      <c r="AJ187" s="11" t="str">
        <f aca="false">IF(X187="","",6-X187)</f>
        <v/>
      </c>
      <c r="AK187" s="11" t="str">
        <f aca="false">IF(Y187="","",6-Y187)</f>
        <v/>
      </c>
      <c r="AL187" s="11" t="str">
        <f aca="false">IF(COUNT(H187:O187)=8,SUM(H187:O187),"")</f>
        <v/>
      </c>
      <c r="AM187" s="11" t="str">
        <f aca="false">IF(COUNT(P187:U187,AH187:AK187)=10,SUM(P187:U187,AH187:AK187),"")</f>
        <v/>
      </c>
      <c r="AN187" s="11" t="str">
        <f aca="false">IF(COUNT(Z187:AG187)=8,SUM(Z187:AG187),"")</f>
        <v/>
      </c>
      <c r="AO187" s="12" t="str">
        <f aca="false">IF(AL187="","",AL187/8)</f>
        <v/>
      </c>
      <c r="AP187" s="12" t="str">
        <f aca="false">IF(AM187="","",AM187/10)</f>
        <v/>
      </c>
      <c r="AQ187" s="12" t="str">
        <f aca="false">IF(AN187="","",AN187/8)</f>
        <v/>
      </c>
      <c r="AR187" s="11" t="str">
        <f aca="false">IF(A187="","",IF(OR(F187=1,G187=1,AND(E187&lt;&gt;"",E187&lt;=2)),2,IF(AND(E187&gt;=3,G187=2,OR(F187=2,F187=3)),1,"")))</f>
        <v/>
      </c>
      <c r="AS187" s="11" t="str">
        <f aca="false">IF(AR187=1,"טיפוסי",IF(AR187=2,"מתקשה",""))</f>
        <v/>
      </c>
      <c r="AT187" s="12" t="str">
        <f aca="false">IF(AR187=1,AO187,"")</f>
        <v/>
      </c>
      <c r="AU187" s="12" t="str">
        <f aca="false">IF(AR187=2,AO187,"")</f>
        <v/>
      </c>
      <c r="AV187" s="12" t="str">
        <f aca="false">IF(AR187=1,AP187,"")</f>
        <v/>
      </c>
      <c r="AW187" s="12" t="str">
        <f aca="false">IF(AR187=2,AP187,"")</f>
        <v/>
      </c>
      <c r="AX187" s="12" t="str">
        <f aca="false">IF(AR187=1,AQ187,"")</f>
        <v/>
      </c>
      <c r="AY187" s="12" t="str">
        <f aca="false">IF(AR187=2,AQ187,"")</f>
        <v/>
      </c>
    </row>
    <row r="188" customFormat="false" ht="15" hidden="false" customHeight="true" outlineLevel="0" collapsed="false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1" t="str">
        <f aca="false">IF(V188="","",6-V188)</f>
        <v/>
      </c>
      <c r="AI188" s="11" t="str">
        <f aca="false">IF(W188="","",6-W188)</f>
        <v/>
      </c>
      <c r="AJ188" s="11" t="str">
        <f aca="false">IF(X188="","",6-X188)</f>
        <v/>
      </c>
      <c r="AK188" s="11" t="str">
        <f aca="false">IF(Y188="","",6-Y188)</f>
        <v/>
      </c>
      <c r="AL188" s="11" t="str">
        <f aca="false">IF(COUNT(H188:O188)=8,SUM(H188:O188),"")</f>
        <v/>
      </c>
      <c r="AM188" s="11" t="str">
        <f aca="false">IF(COUNT(P188:U188,AH188:AK188)=10,SUM(P188:U188,AH188:AK188),"")</f>
        <v/>
      </c>
      <c r="AN188" s="11" t="str">
        <f aca="false">IF(COUNT(Z188:AG188)=8,SUM(Z188:AG188),"")</f>
        <v/>
      </c>
      <c r="AO188" s="12" t="str">
        <f aca="false">IF(AL188="","",AL188/8)</f>
        <v/>
      </c>
      <c r="AP188" s="12" t="str">
        <f aca="false">IF(AM188="","",AM188/10)</f>
        <v/>
      </c>
      <c r="AQ188" s="12" t="str">
        <f aca="false">IF(AN188="","",AN188/8)</f>
        <v/>
      </c>
      <c r="AR188" s="11" t="str">
        <f aca="false">IF(A188="","",IF(OR(F188=1,G188=1,AND(E188&lt;&gt;"",E188&lt;=2)),2,IF(AND(E188&gt;=3,G188=2,OR(F188=2,F188=3)),1,"")))</f>
        <v/>
      </c>
      <c r="AS188" s="11" t="str">
        <f aca="false">IF(AR188=1,"טיפוסי",IF(AR188=2,"מתקשה",""))</f>
        <v/>
      </c>
      <c r="AT188" s="12" t="str">
        <f aca="false">IF(AR188=1,AO188,"")</f>
        <v/>
      </c>
      <c r="AU188" s="12" t="str">
        <f aca="false">IF(AR188=2,AO188,"")</f>
        <v/>
      </c>
      <c r="AV188" s="12" t="str">
        <f aca="false">IF(AR188=1,AP188,"")</f>
        <v/>
      </c>
      <c r="AW188" s="12" t="str">
        <f aca="false">IF(AR188=2,AP188,"")</f>
        <v/>
      </c>
      <c r="AX188" s="12" t="str">
        <f aca="false">IF(AR188=1,AQ188,"")</f>
        <v/>
      </c>
      <c r="AY188" s="12" t="str">
        <f aca="false">IF(AR188=2,AQ188,"")</f>
        <v/>
      </c>
    </row>
    <row r="189" customFormat="false" ht="15" hidden="false" customHeight="true" outlineLevel="0" collapsed="false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1" t="str">
        <f aca="false">IF(V189="","",6-V189)</f>
        <v/>
      </c>
      <c r="AI189" s="11" t="str">
        <f aca="false">IF(W189="","",6-W189)</f>
        <v/>
      </c>
      <c r="AJ189" s="11" t="str">
        <f aca="false">IF(X189="","",6-X189)</f>
        <v/>
      </c>
      <c r="AK189" s="11" t="str">
        <f aca="false">IF(Y189="","",6-Y189)</f>
        <v/>
      </c>
      <c r="AL189" s="11" t="str">
        <f aca="false">IF(COUNT(H189:O189)=8,SUM(H189:O189),"")</f>
        <v/>
      </c>
      <c r="AM189" s="11" t="str">
        <f aca="false">IF(COUNT(P189:U189,AH189:AK189)=10,SUM(P189:U189,AH189:AK189),"")</f>
        <v/>
      </c>
      <c r="AN189" s="11" t="str">
        <f aca="false">IF(COUNT(Z189:AG189)=8,SUM(Z189:AG189),"")</f>
        <v/>
      </c>
      <c r="AO189" s="12" t="str">
        <f aca="false">IF(AL189="","",AL189/8)</f>
        <v/>
      </c>
      <c r="AP189" s="12" t="str">
        <f aca="false">IF(AM189="","",AM189/10)</f>
        <v/>
      </c>
      <c r="AQ189" s="12" t="str">
        <f aca="false">IF(AN189="","",AN189/8)</f>
        <v/>
      </c>
      <c r="AR189" s="11" t="str">
        <f aca="false">IF(A189="","",IF(OR(F189=1,G189=1,AND(E189&lt;&gt;"",E189&lt;=2)),2,IF(AND(E189&gt;=3,G189=2,OR(F189=2,F189=3)),1,"")))</f>
        <v/>
      </c>
      <c r="AS189" s="11" t="str">
        <f aca="false">IF(AR189=1,"טיפוסי",IF(AR189=2,"מתקשה",""))</f>
        <v/>
      </c>
      <c r="AT189" s="12" t="str">
        <f aca="false">IF(AR189=1,AO189,"")</f>
        <v/>
      </c>
      <c r="AU189" s="12" t="str">
        <f aca="false">IF(AR189=2,AO189,"")</f>
        <v/>
      </c>
      <c r="AV189" s="12" t="str">
        <f aca="false">IF(AR189=1,AP189,"")</f>
        <v/>
      </c>
      <c r="AW189" s="12" t="str">
        <f aca="false">IF(AR189=2,AP189,"")</f>
        <v/>
      </c>
      <c r="AX189" s="12" t="str">
        <f aca="false">IF(AR189=1,AQ189,"")</f>
        <v/>
      </c>
      <c r="AY189" s="12" t="str">
        <f aca="false">IF(AR189=2,AQ189,"")</f>
        <v/>
      </c>
    </row>
    <row r="190" customFormat="false" ht="15" hidden="false" customHeight="true" outlineLevel="0" collapsed="false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1" t="str">
        <f aca="false">IF(V190="","",6-V190)</f>
        <v/>
      </c>
      <c r="AI190" s="11" t="str">
        <f aca="false">IF(W190="","",6-W190)</f>
        <v/>
      </c>
      <c r="AJ190" s="11" t="str">
        <f aca="false">IF(X190="","",6-X190)</f>
        <v/>
      </c>
      <c r="AK190" s="11" t="str">
        <f aca="false">IF(Y190="","",6-Y190)</f>
        <v/>
      </c>
      <c r="AL190" s="11" t="str">
        <f aca="false">IF(COUNT(H190:O190)=8,SUM(H190:O190),"")</f>
        <v/>
      </c>
      <c r="AM190" s="11" t="str">
        <f aca="false">IF(COUNT(P190:U190,AH190:AK190)=10,SUM(P190:U190,AH190:AK190),"")</f>
        <v/>
      </c>
      <c r="AN190" s="11" t="str">
        <f aca="false">IF(COUNT(Z190:AG190)=8,SUM(Z190:AG190),"")</f>
        <v/>
      </c>
      <c r="AO190" s="12" t="str">
        <f aca="false">IF(AL190="","",AL190/8)</f>
        <v/>
      </c>
      <c r="AP190" s="12" t="str">
        <f aca="false">IF(AM190="","",AM190/10)</f>
        <v/>
      </c>
      <c r="AQ190" s="12" t="str">
        <f aca="false">IF(AN190="","",AN190/8)</f>
        <v/>
      </c>
      <c r="AR190" s="11" t="str">
        <f aca="false">IF(A190="","",IF(OR(F190=1,G190=1,AND(E190&lt;&gt;"",E190&lt;=2)),2,IF(AND(E190&gt;=3,G190=2,OR(F190=2,F190=3)),1,"")))</f>
        <v/>
      </c>
      <c r="AS190" s="11" t="str">
        <f aca="false">IF(AR190=1,"טיפוסי",IF(AR190=2,"מתקשה",""))</f>
        <v/>
      </c>
      <c r="AT190" s="12" t="str">
        <f aca="false">IF(AR190=1,AO190,"")</f>
        <v/>
      </c>
      <c r="AU190" s="12" t="str">
        <f aca="false">IF(AR190=2,AO190,"")</f>
        <v/>
      </c>
      <c r="AV190" s="12" t="str">
        <f aca="false">IF(AR190=1,AP190,"")</f>
        <v/>
      </c>
      <c r="AW190" s="12" t="str">
        <f aca="false">IF(AR190=2,AP190,"")</f>
        <v/>
      </c>
      <c r="AX190" s="12" t="str">
        <f aca="false">IF(AR190=1,AQ190,"")</f>
        <v/>
      </c>
      <c r="AY190" s="12" t="str">
        <f aca="false">IF(AR190=2,AQ190,"")</f>
        <v/>
      </c>
    </row>
    <row r="191" customFormat="false" ht="15" hidden="false" customHeight="true" outlineLevel="0" collapsed="false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1" t="str">
        <f aca="false">IF(V191="","",6-V191)</f>
        <v/>
      </c>
      <c r="AI191" s="11" t="str">
        <f aca="false">IF(W191="","",6-W191)</f>
        <v/>
      </c>
      <c r="AJ191" s="11" t="str">
        <f aca="false">IF(X191="","",6-X191)</f>
        <v/>
      </c>
      <c r="AK191" s="11" t="str">
        <f aca="false">IF(Y191="","",6-Y191)</f>
        <v/>
      </c>
      <c r="AL191" s="11" t="str">
        <f aca="false">IF(COUNT(H191:O191)=8,SUM(H191:O191),"")</f>
        <v/>
      </c>
      <c r="AM191" s="11" t="str">
        <f aca="false">IF(COUNT(P191:U191,AH191:AK191)=10,SUM(P191:U191,AH191:AK191),"")</f>
        <v/>
      </c>
      <c r="AN191" s="11" t="str">
        <f aca="false">IF(COUNT(Z191:AG191)=8,SUM(Z191:AG191),"")</f>
        <v/>
      </c>
      <c r="AO191" s="12" t="str">
        <f aca="false">IF(AL191="","",AL191/8)</f>
        <v/>
      </c>
      <c r="AP191" s="12" t="str">
        <f aca="false">IF(AM191="","",AM191/10)</f>
        <v/>
      </c>
      <c r="AQ191" s="12" t="str">
        <f aca="false">IF(AN191="","",AN191/8)</f>
        <v/>
      </c>
      <c r="AR191" s="11" t="str">
        <f aca="false">IF(A191="","",IF(OR(F191=1,G191=1,AND(E191&lt;&gt;"",E191&lt;=2)),2,IF(AND(E191&gt;=3,G191=2,OR(F191=2,F191=3)),1,"")))</f>
        <v/>
      </c>
      <c r="AS191" s="11" t="str">
        <f aca="false">IF(AR191=1,"טיפוסי",IF(AR191=2,"מתקשה",""))</f>
        <v/>
      </c>
      <c r="AT191" s="12" t="str">
        <f aca="false">IF(AR191=1,AO191,"")</f>
        <v/>
      </c>
      <c r="AU191" s="12" t="str">
        <f aca="false">IF(AR191=2,AO191,"")</f>
        <v/>
      </c>
      <c r="AV191" s="12" t="str">
        <f aca="false">IF(AR191=1,AP191,"")</f>
        <v/>
      </c>
      <c r="AW191" s="12" t="str">
        <f aca="false">IF(AR191=2,AP191,"")</f>
        <v/>
      </c>
      <c r="AX191" s="12" t="str">
        <f aca="false">IF(AR191=1,AQ191,"")</f>
        <v/>
      </c>
      <c r="AY191" s="12" t="str">
        <f aca="false">IF(AR191=2,AQ191,"")</f>
        <v/>
      </c>
    </row>
    <row r="192" customFormat="false" ht="15" hidden="false" customHeight="true" outlineLevel="0" collapsed="false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1" t="str">
        <f aca="false">IF(V192="","",6-V192)</f>
        <v/>
      </c>
      <c r="AI192" s="11" t="str">
        <f aca="false">IF(W192="","",6-W192)</f>
        <v/>
      </c>
      <c r="AJ192" s="11" t="str">
        <f aca="false">IF(X192="","",6-X192)</f>
        <v/>
      </c>
      <c r="AK192" s="11" t="str">
        <f aca="false">IF(Y192="","",6-Y192)</f>
        <v/>
      </c>
      <c r="AL192" s="11" t="str">
        <f aca="false">IF(COUNT(H192:O192)=8,SUM(H192:O192),"")</f>
        <v/>
      </c>
      <c r="AM192" s="11" t="str">
        <f aca="false">IF(COUNT(P192:U192,AH192:AK192)=10,SUM(P192:U192,AH192:AK192),"")</f>
        <v/>
      </c>
      <c r="AN192" s="11" t="str">
        <f aca="false">IF(COUNT(Z192:AG192)=8,SUM(Z192:AG192),"")</f>
        <v/>
      </c>
      <c r="AO192" s="12" t="str">
        <f aca="false">IF(AL192="","",AL192/8)</f>
        <v/>
      </c>
      <c r="AP192" s="12" t="str">
        <f aca="false">IF(AM192="","",AM192/10)</f>
        <v/>
      </c>
      <c r="AQ192" s="12" t="str">
        <f aca="false">IF(AN192="","",AN192/8)</f>
        <v/>
      </c>
      <c r="AR192" s="11" t="str">
        <f aca="false">IF(A192="","",IF(OR(F192=1,G192=1,AND(E192&lt;&gt;"",E192&lt;=2)),2,IF(AND(E192&gt;=3,G192=2,OR(F192=2,F192=3)),1,"")))</f>
        <v/>
      </c>
      <c r="AS192" s="11" t="str">
        <f aca="false">IF(AR192=1,"טיפוסי",IF(AR192=2,"מתקשה",""))</f>
        <v/>
      </c>
      <c r="AT192" s="12" t="str">
        <f aca="false">IF(AR192=1,AO192,"")</f>
        <v/>
      </c>
      <c r="AU192" s="12" t="str">
        <f aca="false">IF(AR192=2,AO192,"")</f>
        <v/>
      </c>
      <c r="AV192" s="12" t="str">
        <f aca="false">IF(AR192=1,AP192,"")</f>
        <v/>
      </c>
      <c r="AW192" s="12" t="str">
        <f aca="false">IF(AR192=2,AP192,"")</f>
        <v/>
      </c>
      <c r="AX192" s="12" t="str">
        <f aca="false">IF(AR192=1,AQ192,"")</f>
        <v/>
      </c>
      <c r="AY192" s="12" t="str">
        <f aca="false">IF(AR192=2,AQ192,"")</f>
        <v/>
      </c>
    </row>
    <row r="193" customFormat="false" ht="15" hidden="false" customHeight="true" outlineLevel="0" collapsed="false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1" t="str">
        <f aca="false">IF(V193="","",6-V193)</f>
        <v/>
      </c>
      <c r="AI193" s="11" t="str">
        <f aca="false">IF(W193="","",6-W193)</f>
        <v/>
      </c>
      <c r="AJ193" s="11" t="str">
        <f aca="false">IF(X193="","",6-X193)</f>
        <v/>
      </c>
      <c r="AK193" s="11" t="str">
        <f aca="false">IF(Y193="","",6-Y193)</f>
        <v/>
      </c>
      <c r="AL193" s="11" t="str">
        <f aca="false">IF(COUNT(H193:O193)=8,SUM(H193:O193),"")</f>
        <v/>
      </c>
      <c r="AM193" s="11" t="str">
        <f aca="false">IF(COUNT(P193:U193,AH193:AK193)=10,SUM(P193:U193,AH193:AK193),"")</f>
        <v/>
      </c>
      <c r="AN193" s="11" t="str">
        <f aca="false">IF(COUNT(Z193:AG193)=8,SUM(Z193:AG193),"")</f>
        <v/>
      </c>
      <c r="AO193" s="12" t="str">
        <f aca="false">IF(AL193="","",AL193/8)</f>
        <v/>
      </c>
      <c r="AP193" s="12" t="str">
        <f aca="false">IF(AM193="","",AM193/10)</f>
        <v/>
      </c>
      <c r="AQ193" s="12" t="str">
        <f aca="false">IF(AN193="","",AN193/8)</f>
        <v/>
      </c>
      <c r="AR193" s="11" t="str">
        <f aca="false">IF(A193="","",IF(OR(F193=1,G193=1,AND(E193&lt;&gt;"",E193&lt;=2)),2,IF(AND(E193&gt;=3,G193=2,OR(F193=2,F193=3)),1,"")))</f>
        <v/>
      </c>
      <c r="AS193" s="11" t="str">
        <f aca="false">IF(AR193=1,"טיפוסי",IF(AR193=2,"מתקשה",""))</f>
        <v/>
      </c>
      <c r="AT193" s="12" t="str">
        <f aca="false">IF(AR193=1,AO193,"")</f>
        <v/>
      </c>
      <c r="AU193" s="12" t="str">
        <f aca="false">IF(AR193=2,AO193,"")</f>
        <v/>
      </c>
      <c r="AV193" s="12" t="str">
        <f aca="false">IF(AR193=1,AP193,"")</f>
        <v/>
      </c>
      <c r="AW193" s="12" t="str">
        <f aca="false">IF(AR193=2,AP193,"")</f>
        <v/>
      </c>
      <c r="AX193" s="12" t="str">
        <f aca="false">IF(AR193=1,AQ193,"")</f>
        <v/>
      </c>
      <c r="AY193" s="12" t="str">
        <f aca="false">IF(AR193=2,AQ193,"")</f>
        <v/>
      </c>
    </row>
    <row r="194" customFormat="false" ht="15" hidden="false" customHeight="true" outlineLevel="0" collapsed="false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1" t="str">
        <f aca="false">IF(V194="","",6-V194)</f>
        <v/>
      </c>
      <c r="AI194" s="11" t="str">
        <f aca="false">IF(W194="","",6-W194)</f>
        <v/>
      </c>
      <c r="AJ194" s="11" t="str">
        <f aca="false">IF(X194="","",6-X194)</f>
        <v/>
      </c>
      <c r="AK194" s="11" t="str">
        <f aca="false">IF(Y194="","",6-Y194)</f>
        <v/>
      </c>
      <c r="AL194" s="11" t="str">
        <f aca="false">IF(COUNT(H194:O194)=8,SUM(H194:O194),"")</f>
        <v/>
      </c>
      <c r="AM194" s="11" t="str">
        <f aca="false">IF(COUNT(P194:U194,AH194:AK194)=10,SUM(P194:U194,AH194:AK194),"")</f>
        <v/>
      </c>
      <c r="AN194" s="11" t="str">
        <f aca="false">IF(COUNT(Z194:AG194)=8,SUM(Z194:AG194),"")</f>
        <v/>
      </c>
      <c r="AO194" s="12" t="str">
        <f aca="false">IF(AL194="","",AL194/8)</f>
        <v/>
      </c>
      <c r="AP194" s="12" t="str">
        <f aca="false">IF(AM194="","",AM194/10)</f>
        <v/>
      </c>
      <c r="AQ194" s="12" t="str">
        <f aca="false">IF(AN194="","",AN194/8)</f>
        <v/>
      </c>
      <c r="AR194" s="11" t="str">
        <f aca="false">IF(A194="","",IF(OR(F194=1,G194=1,AND(E194&lt;&gt;"",E194&lt;=2)),2,IF(AND(E194&gt;=3,G194=2,OR(F194=2,F194=3)),1,"")))</f>
        <v/>
      </c>
      <c r="AS194" s="11" t="str">
        <f aca="false">IF(AR194=1,"טיפוסי",IF(AR194=2,"מתקשה",""))</f>
        <v/>
      </c>
      <c r="AT194" s="12" t="str">
        <f aca="false">IF(AR194=1,AO194,"")</f>
        <v/>
      </c>
      <c r="AU194" s="12" t="str">
        <f aca="false">IF(AR194=2,AO194,"")</f>
        <v/>
      </c>
      <c r="AV194" s="12" t="str">
        <f aca="false">IF(AR194=1,AP194,"")</f>
        <v/>
      </c>
      <c r="AW194" s="12" t="str">
        <f aca="false">IF(AR194=2,AP194,"")</f>
        <v/>
      </c>
      <c r="AX194" s="12" t="str">
        <f aca="false">IF(AR194=1,AQ194,"")</f>
        <v/>
      </c>
      <c r="AY194" s="12" t="str">
        <f aca="false">IF(AR194=2,AQ194,"")</f>
        <v/>
      </c>
    </row>
    <row r="195" customFormat="false" ht="15" hidden="false" customHeight="true" outlineLevel="0" collapsed="false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1" t="str">
        <f aca="false">IF(V195="","",6-V195)</f>
        <v/>
      </c>
      <c r="AI195" s="11" t="str">
        <f aca="false">IF(W195="","",6-W195)</f>
        <v/>
      </c>
      <c r="AJ195" s="11" t="str">
        <f aca="false">IF(X195="","",6-X195)</f>
        <v/>
      </c>
      <c r="AK195" s="11" t="str">
        <f aca="false">IF(Y195="","",6-Y195)</f>
        <v/>
      </c>
      <c r="AL195" s="11" t="str">
        <f aca="false">IF(COUNT(H195:O195)=8,SUM(H195:O195),"")</f>
        <v/>
      </c>
      <c r="AM195" s="11" t="str">
        <f aca="false">IF(COUNT(P195:U195,AH195:AK195)=10,SUM(P195:U195,AH195:AK195),"")</f>
        <v/>
      </c>
      <c r="AN195" s="11" t="str">
        <f aca="false">IF(COUNT(Z195:AG195)=8,SUM(Z195:AG195),"")</f>
        <v/>
      </c>
      <c r="AO195" s="12" t="str">
        <f aca="false">IF(AL195="","",AL195/8)</f>
        <v/>
      </c>
      <c r="AP195" s="12" t="str">
        <f aca="false">IF(AM195="","",AM195/10)</f>
        <v/>
      </c>
      <c r="AQ195" s="12" t="str">
        <f aca="false">IF(AN195="","",AN195/8)</f>
        <v/>
      </c>
      <c r="AR195" s="11" t="str">
        <f aca="false">IF(A195="","",IF(OR(F195=1,G195=1,AND(E195&lt;&gt;"",E195&lt;=2)),2,IF(AND(E195&gt;=3,G195=2,OR(F195=2,F195=3)),1,"")))</f>
        <v/>
      </c>
      <c r="AS195" s="11" t="str">
        <f aca="false">IF(AR195=1,"טיפוסי",IF(AR195=2,"מתקשה",""))</f>
        <v/>
      </c>
      <c r="AT195" s="12" t="str">
        <f aca="false">IF(AR195=1,AO195,"")</f>
        <v/>
      </c>
      <c r="AU195" s="12" t="str">
        <f aca="false">IF(AR195=2,AO195,"")</f>
        <v/>
      </c>
      <c r="AV195" s="12" t="str">
        <f aca="false">IF(AR195=1,AP195,"")</f>
        <v/>
      </c>
      <c r="AW195" s="12" t="str">
        <f aca="false">IF(AR195=2,AP195,"")</f>
        <v/>
      </c>
      <c r="AX195" s="12" t="str">
        <f aca="false">IF(AR195=1,AQ195,"")</f>
        <v/>
      </c>
      <c r="AY195" s="12" t="str">
        <f aca="false">IF(AR195=2,AQ195,"")</f>
        <v/>
      </c>
    </row>
    <row r="196" customFormat="false" ht="15" hidden="false" customHeight="true" outlineLevel="0" collapsed="false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1" t="str">
        <f aca="false">IF(V196="","",6-V196)</f>
        <v/>
      </c>
      <c r="AI196" s="11" t="str">
        <f aca="false">IF(W196="","",6-W196)</f>
        <v/>
      </c>
      <c r="AJ196" s="11" t="str">
        <f aca="false">IF(X196="","",6-X196)</f>
        <v/>
      </c>
      <c r="AK196" s="11" t="str">
        <f aca="false">IF(Y196="","",6-Y196)</f>
        <v/>
      </c>
      <c r="AL196" s="11" t="str">
        <f aca="false">IF(COUNT(H196:O196)=8,SUM(H196:O196),"")</f>
        <v/>
      </c>
      <c r="AM196" s="11" t="str">
        <f aca="false">IF(COUNT(P196:U196,AH196:AK196)=10,SUM(P196:U196,AH196:AK196),"")</f>
        <v/>
      </c>
      <c r="AN196" s="11" t="str">
        <f aca="false">IF(COUNT(Z196:AG196)=8,SUM(Z196:AG196),"")</f>
        <v/>
      </c>
      <c r="AO196" s="12" t="str">
        <f aca="false">IF(AL196="","",AL196/8)</f>
        <v/>
      </c>
      <c r="AP196" s="12" t="str">
        <f aca="false">IF(AM196="","",AM196/10)</f>
        <v/>
      </c>
      <c r="AQ196" s="12" t="str">
        <f aca="false">IF(AN196="","",AN196/8)</f>
        <v/>
      </c>
      <c r="AR196" s="11" t="str">
        <f aca="false">IF(A196="","",IF(OR(F196=1,G196=1,AND(E196&lt;&gt;"",E196&lt;=2)),2,IF(AND(E196&gt;=3,G196=2,OR(F196=2,F196=3)),1,"")))</f>
        <v/>
      </c>
      <c r="AS196" s="11" t="str">
        <f aca="false">IF(AR196=1,"טיפוסי",IF(AR196=2,"מתקשה",""))</f>
        <v/>
      </c>
      <c r="AT196" s="12" t="str">
        <f aca="false">IF(AR196=1,AO196,"")</f>
        <v/>
      </c>
      <c r="AU196" s="12" t="str">
        <f aca="false">IF(AR196=2,AO196,"")</f>
        <v/>
      </c>
      <c r="AV196" s="12" t="str">
        <f aca="false">IF(AR196=1,AP196,"")</f>
        <v/>
      </c>
      <c r="AW196" s="12" t="str">
        <f aca="false">IF(AR196=2,AP196,"")</f>
        <v/>
      </c>
      <c r="AX196" s="12" t="str">
        <f aca="false">IF(AR196=1,AQ196,"")</f>
        <v/>
      </c>
      <c r="AY196" s="12" t="str">
        <f aca="false">IF(AR196=2,AQ196,"")</f>
        <v/>
      </c>
    </row>
    <row r="197" customFormat="false" ht="15" hidden="false" customHeight="true" outlineLevel="0" collapsed="false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1" t="str">
        <f aca="false">IF(V197="","",6-V197)</f>
        <v/>
      </c>
      <c r="AI197" s="11" t="str">
        <f aca="false">IF(W197="","",6-W197)</f>
        <v/>
      </c>
      <c r="AJ197" s="11" t="str">
        <f aca="false">IF(X197="","",6-X197)</f>
        <v/>
      </c>
      <c r="AK197" s="11" t="str">
        <f aca="false">IF(Y197="","",6-Y197)</f>
        <v/>
      </c>
      <c r="AL197" s="11" t="str">
        <f aca="false">IF(COUNT(H197:O197)=8,SUM(H197:O197),"")</f>
        <v/>
      </c>
      <c r="AM197" s="11" t="str">
        <f aca="false">IF(COUNT(P197:U197,AH197:AK197)=10,SUM(P197:U197,AH197:AK197),"")</f>
        <v/>
      </c>
      <c r="AN197" s="11" t="str">
        <f aca="false">IF(COUNT(Z197:AG197)=8,SUM(Z197:AG197),"")</f>
        <v/>
      </c>
      <c r="AO197" s="12" t="str">
        <f aca="false">IF(AL197="","",AL197/8)</f>
        <v/>
      </c>
      <c r="AP197" s="12" t="str">
        <f aca="false">IF(AM197="","",AM197/10)</f>
        <v/>
      </c>
      <c r="AQ197" s="12" t="str">
        <f aca="false">IF(AN197="","",AN197/8)</f>
        <v/>
      </c>
      <c r="AR197" s="11" t="str">
        <f aca="false">IF(A197="","",IF(OR(F197=1,G197=1,AND(E197&lt;&gt;"",E197&lt;=2)),2,IF(AND(E197&gt;=3,G197=2,OR(F197=2,F197=3)),1,"")))</f>
        <v/>
      </c>
      <c r="AS197" s="11" t="str">
        <f aca="false">IF(AR197=1,"טיפוסי",IF(AR197=2,"מתקשה",""))</f>
        <v/>
      </c>
      <c r="AT197" s="12" t="str">
        <f aca="false">IF(AR197=1,AO197,"")</f>
        <v/>
      </c>
      <c r="AU197" s="12" t="str">
        <f aca="false">IF(AR197=2,AO197,"")</f>
        <v/>
      </c>
      <c r="AV197" s="12" t="str">
        <f aca="false">IF(AR197=1,AP197,"")</f>
        <v/>
      </c>
      <c r="AW197" s="12" t="str">
        <f aca="false">IF(AR197=2,AP197,"")</f>
        <v/>
      </c>
      <c r="AX197" s="12" t="str">
        <f aca="false">IF(AR197=1,AQ197,"")</f>
        <v/>
      </c>
      <c r="AY197" s="12" t="str">
        <f aca="false">IF(AR197=2,AQ197,"")</f>
        <v/>
      </c>
    </row>
    <row r="198" customFormat="false" ht="15" hidden="false" customHeight="true" outlineLevel="0" collapsed="false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1" t="str">
        <f aca="false">IF(V198="","",6-V198)</f>
        <v/>
      </c>
      <c r="AI198" s="11" t="str">
        <f aca="false">IF(W198="","",6-W198)</f>
        <v/>
      </c>
      <c r="AJ198" s="11" t="str">
        <f aca="false">IF(X198="","",6-X198)</f>
        <v/>
      </c>
      <c r="AK198" s="11" t="str">
        <f aca="false">IF(Y198="","",6-Y198)</f>
        <v/>
      </c>
      <c r="AL198" s="11" t="str">
        <f aca="false">IF(COUNT(H198:O198)=8,SUM(H198:O198),"")</f>
        <v/>
      </c>
      <c r="AM198" s="11" t="str">
        <f aca="false">IF(COUNT(P198:U198,AH198:AK198)=10,SUM(P198:U198,AH198:AK198),"")</f>
        <v/>
      </c>
      <c r="AN198" s="11" t="str">
        <f aca="false">IF(COUNT(Z198:AG198)=8,SUM(Z198:AG198),"")</f>
        <v/>
      </c>
      <c r="AO198" s="12" t="str">
        <f aca="false">IF(AL198="","",AL198/8)</f>
        <v/>
      </c>
      <c r="AP198" s="12" t="str">
        <f aca="false">IF(AM198="","",AM198/10)</f>
        <v/>
      </c>
      <c r="AQ198" s="12" t="str">
        <f aca="false">IF(AN198="","",AN198/8)</f>
        <v/>
      </c>
      <c r="AR198" s="11" t="str">
        <f aca="false">IF(A198="","",IF(OR(F198=1,G198=1,AND(E198&lt;&gt;"",E198&lt;=2)),2,IF(AND(E198&gt;=3,G198=2,OR(F198=2,F198=3)),1,"")))</f>
        <v/>
      </c>
      <c r="AS198" s="11" t="str">
        <f aca="false">IF(AR198=1,"טיפוסי",IF(AR198=2,"מתקשה",""))</f>
        <v/>
      </c>
      <c r="AT198" s="12" t="str">
        <f aca="false">IF(AR198=1,AO198,"")</f>
        <v/>
      </c>
      <c r="AU198" s="12" t="str">
        <f aca="false">IF(AR198=2,AO198,"")</f>
        <v/>
      </c>
      <c r="AV198" s="12" t="str">
        <f aca="false">IF(AR198=1,AP198,"")</f>
        <v/>
      </c>
      <c r="AW198" s="12" t="str">
        <f aca="false">IF(AR198=2,AP198,"")</f>
        <v/>
      </c>
      <c r="AX198" s="12" t="str">
        <f aca="false">IF(AR198=1,AQ198,"")</f>
        <v/>
      </c>
      <c r="AY198" s="12" t="str">
        <f aca="false">IF(AR198=2,AQ198,"")</f>
        <v/>
      </c>
    </row>
    <row r="199" customFormat="false" ht="15" hidden="false" customHeight="tru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1" t="str">
        <f aca="false">IF(V199="","",6-V199)</f>
        <v/>
      </c>
      <c r="AI199" s="11" t="str">
        <f aca="false">IF(W199="","",6-W199)</f>
        <v/>
      </c>
      <c r="AJ199" s="11" t="str">
        <f aca="false">IF(X199="","",6-X199)</f>
        <v/>
      </c>
      <c r="AK199" s="11" t="str">
        <f aca="false">IF(Y199="","",6-Y199)</f>
        <v/>
      </c>
      <c r="AL199" s="11" t="str">
        <f aca="false">IF(COUNT(H199:O199)=8,SUM(H199:O199),"")</f>
        <v/>
      </c>
      <c r="AM199" s="11" t="str">
        <f aca="false">IF(COUNT(P199:U199,AH199:AK199)=10,SUM(P199:U199,AH199:AK199),"")</f>
        <v/>
      </c>
      <c r="AN199" s="11" t="str">
        <f aca="false">IF(COUNT(Z199:AG199)=8,SUM(Z199:AG199),"")</f>
        <v/>
      </c>
      <c r="AO199" s="12" t="str">
        <f aca="false">IF(AL199="","",AL199/8)</f>
        <v/>
      </c>
      <c r="AP199" s="12" t="str">
        <f aca="false">IF(AM199="","",AM199/10)</f>
        <v/>
      </c>
      <c r="AQ199" s="12" t="str">
        <f aca="false">IF(AN199="","",AN199/8)</f>
        <v/>
      </c>
      <c r="AR199" s="11" t="str">
        <f aca="false">IF(A199="","",IF(OR(F199=1,G199=1,AND(E199&lt;&gt;"",E199&lt;=2)),2,IF(AND(E199&gt;=3,G199=2,OR(F199=2,F199=3)),1,"")))</f>
        <v/>
      </c>
      <c r="AS199" s="11" t="str">
        <f aca="false">IF(AR199=1,"טיפוסי",IF(AR199=2,"מתקשה",""))</f>
        <v/>
      </c>
      <c r="AT199" s="12" t="str">
        <f aca="false">IF(AR199=1,AO199,"")</f>
        <v/>
      </c>
      <c r="AU199" s="12" t="str">
        <f aca="false">IF(AR199=2,AO199,"")</f>
        <v/>
      </c>
      <c r="AV199" s="12" t="str">
        <f aca="false">IF(AR199=1,AP199,"")</f>
        <v/>
      </c>
      <c r="AW199" s="12" t="str">
        <f aca="false">IF(AR199=2,AP199,"")</f>
        <v/>
      </c>
      <c r="AX199" s="12" t="str">
        <f aca="false">IF(AR199=1,AQ199,"")</f>
        <v/>
      </c>
      <c r="AY199" s="12" t="str">
        <f aca="false">IF(AR199=2,AQ199,"")</f>
        <v/>
      </c>
    </row>
    <row r="200" customFormat="false" ht="15" hidden="false" customHeight="true" outlineLevel="0" collapsed="false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1" t="str">
        <f aca="false">IF(V200="","",6-V200)</f>
        <v/>
      </c>
      <c r="AI200" s="11" t="str">
        <f aca="false">IF(W200="","",6-W200)</f>
        <v/>
      </c>
      <c r="AJ200" s="11" t="str">
        <f aca="false">IF(X200="","",6-X200)</f>
        <v/>
      </c>
      <c r="AK200" s="11" t="str">
        <f aca="false">IF(Y200="","",6-Y200)</f>
        <v/>
      </c>
      <c r="AL200" s="11" t="str">
        <f aca="false">IF(COUNT(H200:O200)=8,SUM(H200:O200),"")</f>
        <v/>
      </c>
      <c r="AM200" s="11" t="str">
        <f aca="false">IF(COUNT(P200:U200,AH200:AK200)=10,SUM(P200:U200,AH200:AK200),"")</f>
        <v/>
      </c>
      <c r="AN200" s="11" t="str">
        <f aca="false">IF(COUNT(Z200:AG200)=8,SUM(Z200:AG200),"")</f>
        <v/>
      </c>
      <c r="AO200" s="12" t="str">
        <f aca="false">IF(AL200="","",AL200/8)</f>
        <v/>
      </c>
      <c r="AP200" s="12" t="str">
        <f aca="false">IF(AM200="","",AM200/10)</f>
        <v/>
      </c>
      <c r="AQ200" s="12" t="str">
        <f aca="false">IF(AN200="","",AN200/8)</f>
        <v/>
      </c>
      <c r="AR200" s="11" t="str">
        <f aca="false">IF(A200="","",IF(OR(F200=1,G200=1,AND(E200&lt;&gt;"",E200&lt;=2)),2,IF(AND(E200&gt;=3,G200=2,OR(F200=2,F200=3)),1,"")))</f>
        <v/>
      </c>
      <c r="AS200" s="11" t="str">
        <f aca="false">IF(AR200=1,"טיפוסי",IF(AR200=2,"מתקשה",""))</f>
        <v/>
      </c>
      <c r="AT200" s="12" t="str">
        <f aca="false">IF(AR200=1,AO200,"")</f>
        <v/>
      </c>
      <c r="AU200" s="12" t="str">
        <f aca="false">IF(AR200=2,AO200,"")</f>
        <v/>
      </c>
      <c r="AV200" s="12" t="str">
        <f aca="false">IF(AR200=1,AP200,"")</f>
        <v/>
      </c>
      <c r="AW200" s="12" t="str">
        <f aca="false">IF(AR200=2,AP200,"")</f>
        <v/>
      </c>
      <c r="AX200" s="12" t="str">
        <f aca="false">IF(AR200=1,AQ200,"")</f>
        <v/>
      </c>
      <c r="AY200" s="12" t="str">
        <f aca="false">IF(AR200=2,AQ200,"")</f>
        <v/>
      </c>
    </row>
    <row r="201" customFormat="false" ht="1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1" t="str">
        <f aca="false">IF(V201="","",6-V201)</f>
        <v/>
      </c>
      <c r="AI201" s="11" t="str">
        <f aca="false">IF(W201="","",6-W201)</f>
        <v/>
      </c>
      <c r="AJ201" s="11" t="str">
        <f aca="false">IF(X201="","",6-X201)</f>
        <v/>
      </c>
      <c r="AK201" s="11" t="str">
        <f aca="false">IF(Y201="","",6-Y201)</f>
        <v/>
      </c>
      <c r="AL201" s="11" t="str">
        <f aca="false">IF(COUNT(H201:O201)=8,SUM(H201:O201),"")</f>
        <v/>
      </c>
      <c r="AM201" s="11" t="str">
        <f aca="false">IF(COUNT(P201:U201,AH201:AK201)=10,SUM(P201:U201,AH201:AK201),"")</f>
        <v/>
      </c>
      <c r="AN201" s="11" t="str">
        <f aca="false">IF(COUNT(Z201:AG201)=8,SUM(Z201:AG201),"")</f>
        <v/>
      </c>
      <c r="AO201" s="12" t="str">
        <f aca="false">IF(AL201="","",AL201/8)</f>
        <v/>
      </c>
      <c r="AP201" s="12" t="str">
        <f aca="false">IF(AM201="","",AM201/10)</f>
        <v/>
      </c>
      <c r="AQ201" s="12" t="str">
        <f aca="false">IF(AN201="","",AN201/8)</f>
        <v/>
      </c>
      <c r="AR201" s="11" t="str">
        <f aca="false">IF(A201="","",IF(OR(F201=1,G201=1,AND(E201&lt;&gt;"",E201&lt;=2)),2,IF(AND(E201&gt;=3,G201=2,OR(F201=2,F201=3)),1,"")))</f>
        <v/>
      </c>
      <c r="AS201" s="11" t="str">
        <f aca="false">IF(AR201=1,"טיפוסי",IF(AR201=2,"מתקשה",""))</f>
        <v/>
      </c>
      <c r="AT201" s="12" t="str">
        <f aca="false">IF(AR201=1,AO201,"")</f>
        <v/>
      </c>
      <c r="AU201" s="12" t="str">
        <f aca="false">IF(AR201=2,AO201,"")</f>
        <v/>
      </c>
      <c r="AV201" s="12" t="str">
        <f aca="false">IF(AR201=1,AP201,"")</f>
        <v/>
      </c>
      <c r="AW201" s="12" t="str">
        <f aca="false">IF(AR201=2,AP201,"")</f>
        <v/>
      </c>
      <c r="AX201" s="12" t="str">
        <f aca="false">IF(AR201=1,AQ201,"")</f>
        <v/>
      </c>
      <c r="AY201" s="12" t="str">
        <f aca="false">IF(AR201=2,AQ201,"")</f>
        <v/>
      </c>
    </row>
    <row r="202" customFormat="false" ht="15" hidden="false" customHeight="tru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1" t="str">
        <f aca="false">IF(V202="","",6-V202)</f>
        <v/>
      </c>
      <c r="AI202" s="11" t="str">
        <f aca="false">IF(W202="","",6-W202)</f>
        <v/>
      </c>
      <c r="AJ202" s="11" t="str">
        <f aca="false">IF(X202="","",6-X202)</f>
        <v/>
      </c>
      <c r="AK202" s="11" t="str">
        <f aca="false">IF(Y202="","",6-Y202)</f>
        <v/>
      </c>
      <c r="AL202" s="11" t="str">
        <f aca="false">IF(COUNT(H202:O202)=8,SUM(H202:O202),"")</f>
        <v/>
      </c>
      <c r="AM202" s="11" t="str">
        <f aca="false">IF(COUNT(P202:U202,AH202:AK202)=10,SUM(P202:U202,AH202:AK202),"")</f>
        <v/>
      </c>
      <c r="AN202" s="11" t="str">
        <f aca="false">IF(COUNT(Z202:AG202)=8,SUM(Z202:AG202),"")</f>
        <v/>
      </c>
      <c r="AO202" s="12" t="str">
        <f aca="false">IF(AL202="","",AL202/8)</f>
        <v/>
      </c>
      <c r="AP202" s="12" t="str">
        <f aca="false">IF(AM202="","",AM202/10)</f>
        <v/>
      </c>
      <c r="AQ202" s="12" t="str">
        <f aca="false">IF(AN202="","",AN202/8)</f>
        <v/>
      </c>
      <c r="AR202" s="11" t="str">
        <f aca="false">IF(A202="","",IF(OR(F202=1,G202=1,AND(E202&lt;&gt;"",E202&lt;=2)),2,IF(AND(E202&gt;=3,G202=2,OR(F202=2,F202=3)),1,"")))</f>
        <v/>
      </c>
      <c r="AS202" s="11" t="str">
        <f aca="false">IF(AR202=1,"טיפוסי",IF(AR202=2,"מתקשה",""))</f>
        <v/>
      </c>
      <c r="AT202" s="12" t="str">
        <f aca="false">IF(AR202=1,AO202,"")</f>
        <v/>
      </c>
      <c r="AU202" s="12" t="str">
        <f aca="false">IF(AR202=2,AO202,"")</f>
        <v/>
      </c>
      <c r="AV202" s="12" t="str">
        <f aca="false">IF(AR202=1,AP202,"")</f>
        <v/>
      </c>
      <c r="AW202" s="12" t="str">
        <f aca="false">IF(AR202=2,AP202,"")</f>
        <v/>
      </c>
      <c r="AX202" s="12" t="str">
        <f aca="false">IF(AR202=1,AQ202,"")</f>
        <v/>
      </c>
      <c r="AY202" s="12" t="str">
        <f aca="false">IF(AR202=2,AQ202,"")</f>
        <v/>
      </c>
    </row>
    <row r="203" customFormat="false" ht="1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1" t="str">
        <f aca="false">IF(V203="","",6-V203)</f>
        <v/>
      </c>
      <c r="AI203" s="11" t="str">
        <f aca="false">IF(W203="","",6-W203)</f>
        <v/>
      </c>
      <c r="AJ203" s="11" t="str">
        <f aca="false">IF(X203="","",6-X203)</f>
        <v/>
      </c>
      <c r="AK203" s="11" t="str">
        <f aca="false">IF(Y203="","",6-Y203)</f>
        <v/>
      </c>
      <c r="AL203" s="11" t="str">
        <f aca="false">IF(COUNT(H203:O203)=8,SUM(H203:O203),"")</f>
        <v/>
      </c>
      <c r="AM203" s="11" t="str">
        <f aca="false">IF(COUNT(P203:U203,AH203:AK203)=10,SUM(P203:U203,AH203:AK203),"")</f>
        <v/>
      </c>
      <c r="AN203" s="11" t="str">
        <f aca="false">IF(COUNT(Z203:AG203)=8,SUM(Z203:AG203),"")</f>
        <v/>
      </c>
      <c r="AO203" s="12" t="str">
        <f aca="false">IF(AL203="","",AL203/8)</f>
        <v/>
      </c>
      <c r="AP203" s="12" t="str">
        <f aca="false">IF(AM203="","",AM203/10)</f>
        <v/>
      </c>
      <c r="AQ203" s="12" t="str">
        <f aca="false">IF(AN203="","",AN203/8)</f>
        <v/>
      </c>
      <c r="AR203" s="11" t="str">
        <f aca="false">IF(A203="","",IF(OR(F203=1,G203=1,AND(E203&lt;&gt;"",E203&lt;=2)),2,IF(AND(E203&gt;=3,G203=2,OR(F203=2,F203=3)),1,"")))</f>
        <v/>
      </c>
      <c r="AS203" s="11" t="str">
        <f aca="false">IF(AR203=1,"טיפוסי",IF(AR203=2,"מתקשה",""))</f>
        <v/>
      </c>
      <c r="AT203" s="12" t="str">
        <f aca="false">IF(AR203=1,AO203,"")</f>
        <v/>
      </c>
      <c r="AU203" s="12" t="str">
        <f aca="false">IF(AR203=2,AO203,"")</f>
        <v/>
      </c>
      <c r="AV203" s="12" t="str">
        <f aca="false">IF(AR203=1,AP203,"")</f>
        <v/>
      </c>
      <c r="AW203" s="12" t="str">
        <f aca="false">IF(AR203=2,AP203,"")</f>
        <v/>
      </c>
      <c r="AX203" s="12" t="str">
        <f aca="false">IF(AR203=1,AQ203,"")</f>
        <v/>
      </c>
      <c r="AY203" s="12" t="str">
        <f aca="false">IF(AR203=2,AQ203,"")</f>
        <v/>
      </c>
    </row>
    <row r="204" customFormat="false" ht="15" hidden="false" customHeight="true" outlineLevel="0" collapsed="false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1" t="str">
        <f aca="false">IF(V204="","",6-V204)</f>
        <v/>
      </c>
      <c r="AI204" s="11" t="str">
        <f aca="false">IF(W204="","",6-W204)</f>
        <v/>
      </c>
      <c r="AJ204" s="11" t="str">
        <f aca="false">IF(X204="","",6-X204)</f>
        <v/>
      </c>
      <c r="AK204" s="11" t="str">
        <f aca="false">IF(Y204="","",6-Y204)</f>
        <v/>
      </c>
      <c r="AL204" s="11" t="str">
        <f aca="false">IF(COUNT(H204:O204)=8,SUM(H204:O204),"")</f>
        <v/>
      </c>
      <c r="AM204" s="11" t="str">
        <f aca="false">IF(COUNT(P204:U204,AH204:AK204)=10,SUM(P204:U204,AH204:AK204),"")</f>
        <v/>
      </c>
      <c r="AN204" s="11" t="str">
        <f aca="false">IF(COUNT(Z204:AG204)=8,SUM(Z204:AG204),"")</f>
        <v/>
      </c>
      <c r="AO204" s="12" t="str">
        <f aca="false">IF(AL204="","",AL204/8)</f>
        <v/>
      </c>
      <c r="AP204" s="12" t="str">
        <f aca="false">IF(AM204="","",AM204/10)</f>
        <v/>
      </c>
      <c r="AQ204" s="12" t="str">
        <f aca="false">IF(AN204="","",AN204/8)</f>
        <v/>
      </c>
      <c r="AR204" s="11" t="str">
        <f aca="false">IF(A204="","",IF(OR(F204=1,G204=1,AND(E204&lt;&gt;"",E204&lt;=2)),2,IF(AND(E204&gt;=3,G204=2,OR(F204=2,F204=3)),1,"")))</f>
        <v/>
      </c>
      <c r="AS204" s="11" t="str">
        <f aca="false">IF(AR204=1,"טיפוסי",IF(AR204=2,"מתקשה",""))</f>
        <v/>
      </c>
      <c r="AT204" s="12" t="str">
        <f aca="false">IF(AR204=1,AO204,"")</f>
        <v/>
      </c>
      <c r="AU204" s="12" t="str">
        <f aca="false">IF(AR204=2,AO204,"")</f>
        <v/>
      </c>
      <c r="AV204" s="12" t="str">
        <f aca="false">IF(AR204=1,AP204,"")</f>
        <v/>
      </c>
      <c r="AW204" s="12" t="str">
        <f aca="false">IF(AR204=2,AP204,"")</f>
        <v/>
      </c>
      <c r="AX204" s="12" t="str">
        <f aca="false">IF(AR204=1,AQ204,"")</f>
        <v/>
      </c>
      <c r="AY204" s="12" t="str">
        <f aca="false">IF(AR204=2,AQ204,"")</f>
        <v/>
      </c>
    </row>
    <row r="205" customFormat="false" ht="15" hidden="false" customHeight="tru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1" t="str">
        <f aca="false">IF(V205="","",6-V205)</f>
        <v/>
      </c>
      <c r="AI205" s="11" t="str">
        <f aca="false">IF(W205="","",6-W205)</f>
        <v/>
      </c>
      <c r="AJ205" s="11" t="str">
        <f aca="false">IF(X205="","",6-X205)</f>
        <v/>
      </c>
      <c r="AK205" s="11" t="str">
        <f aca="false">IF(Y205="","",6-Y205)</f>
        <v/>
      </c>
      <c r="AL205" s="11" t="str">
        <f aca="false">IF(COUNT(H205:O205)=8,SUM(H205:O205),"")</f>
        <v/>
      </c>
      <c r="AM205" s="11" t="str">
        <f aca="false">IF(COUNT(P205:U205,AH205:AK205)=10,SUM(P205:U205,AH205:AK205),"")</f>
        <v/>
      </c>
      <c r="AN205" s="11" t="str">
        <f aca="false">IF(COUNT(Z205:AG205)=8,SUM(Z205:AG205),"")</f>
        <v/>
      </c>
      <c r="AO205" s="12" t="str">
        <f aca="false">IF(AL205="","",AL205/8)</f>
        <v/>
      </c>
      <c r="AP205" s="12" t="str">
        <f aca="false">IF(AM205="","",AM205/10)</f>
        <v/>
      </c>
      <c r="AQ205" s="12" t="str">
        <f aca="false">IF(AN205="","",AN205/8)</f>
        <v/>
      </c>
      <c r="AR205" s="11" t="str">
        <f aca="false">IF(A205="","",IF(OR(F205=1,G205=1,AND(E205&lt;&gt;"",E205&lt;=2)),2,IF(AND(E205&gt;=3,G205=2,OR(F205=2,F205=3)),1,"")))</f>
        <v/>
      </c>
      <c r="AS205" s="11" t="str">
        <f aca="false">IF(AR205=1,"טיפוסי",IF(AR205=2,"מתקשה",""))</f>
        <v/>
      </c>
      <c r="AT205" s="12" t="str">
        <f aca="false">IF(AR205=1,AO205,"")</f>
        <v/>
      </c>
      <c r="AU205" s="12" t="str">
        <f aca="false">IF(AR205=2,AO205,"")</f>
        <v/>
      </c>
      <c r="AV205" s="12" t="str">
        <f aca="false">IF(AR205=1,AP205,"")</f>
        <v/>
      </c>
      <c r="AW205" s="12" t="str">
        <f aca="false">IF(AR205=2,AP205,"")</f>
        <v/>
      </c>
      <c r="AX205" s="12" t="str">
        <f aca="false">IF(AR205=1,AQ205,"")</f>
        <v/>
      </c>
      <c r="AY205" s="12" t="str">
        <f aca="false">IF(AR205=2,AQ205,"")</f>
        <v/>
      </c>
    </row>
    <row r="206" customFormat="false" ht="15" hidden="false" customHeight="true" outlineLevel="0" collapsed="false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1" t="str">
        <f aca="false">IF(V206="","",6-V206)</f>
        <v/>
      </c>
      <c r="AI206" s="11" t="str">
        <f aca="false">IF(W206="","",6-W206)</f>
        <v/>
      </c>
      <c r="AJ206" s="11" t="str">
        <f aca="false">IF(X206="","",6-X206)</f>
        <v/>
      </c>
      <c r="AK206" s="11" t="str">
        <f aca="false">IF(Y206="","",6-Y206)</f>
        <v/>
      </c>
      <c r="AL206" s="11" t="str">
        <f aca="false">IF(COUNT(H206:O206)=8,SUM(H206:O206),"")</f>
        <v/>
      </c>
      <c r="AM206" s="11" t="str">
        <f aca="false">IF(COUNT(P206:U206,AH206:AK206)=10,SUM(P206:U206,AH206:AK206),"")</f>
        <v/>
      </c>
      <c r="AN206" s="11" t="str">
        <f aca="false">IF(COUNT(Z206:AG206)=8,SUM(Z206:AG206),"")</f>
        <v/>
      </c>
      <c r="AO206" s="12" t="str">
        <f aca="false">IF(AL206="","",AL206/8)</f>
        <v/>
      </c>
      <c r="AP206" s="12" t="str">
        <f aca="false">IF(AM206="","",AM206/10)</f>
        <v/>
      </c>
      <c r="AQ206" s="12" t="str">
        <f aca="false">IF(AN206="","",AN206/8)</f>
        <v/>
      </c>
      <c r="AR206" s="11" t="str">
        <f aca="false">IF(A206="","",IF(OR(F206=1,G206=1,AND(E206&lt;&gt;"",E206&lt;=2)),2,IF(AND(E206&gt;=3,G206=2,OR(F206=2,F206=3)),1,"")))</f>
        <v/>
      </c>
      <c r="AS206" s="11" t="str">
        <f aca="false">IF(AR206=1,"טיפוסי",IF(AR206=2,"מתקשה",""))</f>
        <v/>
      </c>
      <c r="AT206" s="12" t="str">
        <f aca="false">IF(AR206=1,AO206,"")</f>
        <v/>
      </c>
      <c r="AU206" s="12" t="str">
        <f aca="false">IF(AR206=2,AO206,"")</f>
        <v/>
      </c>
      <c r="AV206" s="12" t="str">
        <f aca="false">IF(AR206=1,AP206,"")</f>
        <v/>
      </c>
      <c r="AW206" s="12" t="str">
        <f aca="false">IF(AR206=2,AP206,"")</f>
        <v/>
      </c>
      <c r="AX206" s="12" t="str">
        <f aca="false">IF(AR206=1,AQ206,"")</f>
        <v/>
      </c>
      <c r="AY206" s="12" t="str">
        <f aca="false">IF(AR206=2,AQ206,"")</f>
        <v/>
      </c>
    </row>
    <row r="207" customFormat="false" ht="15" hidden="false" customHeight="tru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1" t="str">
        <f aca="false">IF(V207="","",6-V207)</f>
        <v/>
      </c>
      <c r="AI207" s="11" t="str">
        <f aca="false">IF(W207="","",6-W207)</f>
        <v/>
      </c>
      <c r="AJ207" s="11" t="str">
        <f aca="false">IF(X207="","",6-X207)</f>
        <v/>
      </c>
      <c r="AK207" s="11" t="str">
        <f aca="false">IF(Y207="","",6-Y207)</f>
        <v/>
      </c>
      <c r="AL207" s="11" t="str">
        <f aca="false">IF(COUNT(H207:O207)=8,SUM(H207:O207),"")</f>
        <v/>
      </c>
      <c r="AM207" s="11" t="str">
        <f aca="false">IF(COUNT(P207:U207,AH207:AK207)=10,SUM(P207:U207,AH207:AK207),"")</f>
        <v/>
      </c>
      <c r="AN207" s="11" t="str">
        <f aca="false">IF(COUNT(Z207:AG207)=8,SUM(Z207:AG207),"")</f>
        <v/>
      </c>
      <c r="AO207" s="12" t="str">
        <f aca="false">IF(AL207="","",AL207/8)</f>
        <v/>
      </c>
      <c r="AP207" s="12" t="str">
        <f aca="false">IF(AM207="","",AM207/10)</f>
        <v/>
      </c>
      <c r="AQ207" s="12" t="str">
        <f aca="false">IF(AN207="","",AN207/8)</f>
        <v/>
      </c>
      <c r="AR207" s="11" t="str">
        <f aca="false">IF(A207="","",IF(OR(F207=1,G207=1,AND(E207&lt;&gt;"",E207&lt;=2)),2,IF(AND(E207&gt;=3,G207=2,OR(F207=2,F207=3)),1,"")))</f>
        <v/>
      </c>
      <c r="AS207" s="11" t="str">
        <f aca="false">IF(AR207=1,"טיפוסי",IF(AR207=2,"מתקשה",""))</f>
        <v/>
      </c>
      <c r="AT207" s="12" t="str">
        <f aca="false">IF(AR207=1,AO207,"")</f>
        <v/>
      </c>
      <c r="AU207" s="12" t="str">
        <f aca="false">IF(AR207=2,AO207,"")</f>
        <v/>
      </c>
      <c r="AV207" s="12" t="str">
        <f aca="false">IF(AR207=1,AP207,"")</f>
        <v/>
      </c>
      <c r="AW207" s="12" t="str">
        <f aca="false">IF(AR207=2,AP207,"")</f>
        <v/>
      </c>
      <c r="AX207" s="12" t="str">
        <f aca="false">IF(AR207=1,AQ207,"")</f>
        <v/>
      </c>
      <c r="AY207" s="12" t="str">
        <f aca="false">IF(AR207=2,AQ207,"")</f>
        <v/>
      </c>
    </row>
    <row r="208" customFormat="false" ht="15" hidden="false" customHeight="true" outlineLevel="0" collapsed="false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1" t="str">
        <f aca="false">IF(V208="","",6-V208)</f>
        <v/>
      </c>
      <c r="AI208" s="11" t="str">
        <f aca="false">IF(W208="","",6-W208)</f>
        <v/>
      </c>
      <c r="AJ208" s="11" t="str">
        <f aca="false">IF(X208="","",6-X208)</f>
        <v/>
      </c>
      <c r="AK208" s="11" t="str">
        <f aca="false">IF(Y208="","",6-Y208)</f>
        <v/>
      </c>
      <c r="AL208" s="11" t="str">
        <f aca="false">IF(COUNT(H208:O208)=8,SUM(H208:O208),"")</f>
        <v/>
      </c>
      <c r="AM208" s="11" t="str">
        <f aca="false">IF(COUNT(P208:U208,AH208:AK208)=10,SUM(P208:U208,AH208:AK208),"")</f>
        <v/>
      </c>
      <c r="AN208" s="11" t="str">
        <f aca="false">IF(COUNT(Z208:AG208)=8,SUM(Z208:AG208),"")</f>
        <v/>
      </c>
      <c r="AO208" s="12" t="str">
        <f aca="false">IF(AL208="","",AL208/8)</f>
        <v/>
      </c>
      <c r="AP208" s="12" t="str">
        <f aca="false">IF(AM208="","",AM208/10)</f>
        <v/>
      </c>
      <c r="AQ208" s="12" t="str">
        <f aca="false">IF(AN208="","",AN208/8)</f>
        <v/>
      </c>
      <c r="AR208" s="11" t="str">
        <f aca="false">IF(A208="","",IF(OR(F208=1,G208=1,AND(E208&lt;&gt;"",E208&lt;=2)),2,IF(AND(E208&gt;=3,G208=2,OR(F208=2,F208=3)),1,"")))</f>
        <v/>
      </c>
      <c r="AS208" s="11" t="str">
        <f aca="false">IF(AR208=1,"טיפוסי",IF(AR208=2,"מתקשה",""))</f>
        <v/>
      </c>
      <c r="AT208" s="12" t="str">
        <f aca="false">IF(AR208=1,AO208,"")</f>
        <v/>
      </c>
      <c r="AU208" s="12" t="str">
        <f aca="false">IF(AR208=2,AO208,"")</f>
        <v/>
      </c>
      <c r="AV208" s="12" t="str">
        <f aca="false">IF(AR208=1,AP208,"")</f>
        <v/>
      </c>
      <c r="AW208" s="12" t="str">
        <f aca="false">IF(AR208=2,AP208,"")</f>
        <v/>
      </c>
      <c r="AX208" s="12" t="str">
        <f aca="false">IF(AR208=1,AQ208,"")</f>
        <v/>
      </c>
      <c r="AY208" s="12" t="str">
        <f aca="false">IF(AR208=2,AQ208,"")</f>
        <v/>
      </c>
    </row>
    <row r="209" customFormat="false" ht="1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1" t="str">
        <f aca="false">IF(V209="","",6-V209)</f>
        <v/>
      </c>
      <c r="AI209" s="11" t="str">
        <f aca="false">IF(W209="","",6-W209)</f>
        <v/>
      </c>
      <c r="AJ209" s="11" t="str">
        <f aca="false">IF(X209="","",6-X209)</f>
        <v/>
      </c>
      <c r="AK209" s="11" t="str">
        <f aca="false">IF(Y209="","",6-Y209)</f>
        <v/>
      </c>
      <c r="AL209" s="11" t="str">
        <f aca="false">IF(COUNT(H209:O209)=8,SUM(H209:O209),"")</f>
        <v/>
      </c>
      <c r="AM209" s="11" t="str">
        <f aca="false">IF(COUNT(P209:U209,AH209:AK209)=10,SUM(P209:U209,AH209:AK209),"")</f>
        <v/>
      </c>
      <c r="AN209" s="11" t="str">
        <f aca="false">IF(COUNT(Z209:AG209)=8,SUM(Z209:AG209),"")</f>
        <v/>
      </c>
      <c r="AO209" s="12" t="str">
        <f aca="false">IF(AL209="","",AL209/8)</f>
        <v/>
      </c>
      <c r="AP209" s="12" t="str">
        <f aca="false">IF(AM209="","",AM209/10)</f>
        <v/>
      </c>
      <c r="AQ209" s="12" t="str">
        <f aca="false">IF(AN209="","",AN209/8)</f>
        <v/>
      </c>
      <c r="AR209" s="11" t="str">
        <f aca="false">IF(A209="","",IF(OR(F209=1,G209=1,AND(E209&lt;&gt;"",E209&lt;=2)),2,IF(AND(E209&gt;=3,G209=2,OR(F209=2,F209=3)),1,"")))</f>
        <v/>
      </c>
      <c r="AS209" s="11" t="str">
        <f aca="false">IF(AR209=1,"טיפוסי",IF(AR209=2,"מתקשה",""))</f>
        <v/>
      </c>
      <c r="AT209" s="12" t="str">
        <f aca="false">IF(AR209=1,AO209,"")</f>
        <v/>
      </c>
      <c r="AU209" s="12" t="str">
        <f aca="false">IF(AR209=2,AO209,"")</f>
        <v/>
      </c>
      <c r="AV209" s="12" t="str">
        <f aca="false">IF(AR209=1,AP209,"")</f>
        <v/>
      </c>
      <c r="AW209" s="12" t="str">
        <f aca="false">IF(AR209=2,AP209,"")</f>
        <v/>
      </c>
      <c r="AX209" s="12" t="str">
        <f aca="false">IF(AR209=1,AQ209,"")</f>
        <v/>
      </c>
      <c r="AY209" s="12" t="str">
        <f aca="false">IF(AR209=2,AQ209,"")</f>
        <v/>
      </c>
    </row>
    <row r="210" customFormat="false" ht="15" hidden="false" customHeight="true" outlineLevel="0" collapsed="false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1" t="str">
        <f aca="false">IF(V210="","",6-V210)</f>
        <v/>
      </c>
      <c r="AI210" s="11" t="str">
        <f aca="false">IF(W210="","",6-W210)</f>
        <v/>
      </c>
      <c r="AJ210" s="11" t="str">
        <f aca="false">IF(X210="","",6-X210)</f>
        <v/>
      </c>
      <c r="AK210" s="11" t="str">
        <f aca="false">IF(Y210="","",6-Y210)</f>
        <v/>
      </c>
      <c r="AL210" s="11" t="str">
        <f aca="false">IF(COUNT(H210:O210)=8,SUM(H210:O210),"")</f>
        <v/>
      </c>
      <c r="AM210" s="11" t="str">
        <f aca="false">IF(COUNT(P210:U210,AH210:AK210)=10,SUM(P210:U210,AH210:AK210),"")</f>
        <v/>
      </c>
      <c r="AN210" s="11" t="str">
        <f aca="false">IF(COUNT(Z210:AG210)=8,SUM(Z210:AG210),"")</f>
        <v/>
      </c>
      <c r="AO210" s="12" t="str">
        <f aca="false">IF(AL210="","",AL210/8)</f>
        <v/>
      </c>
      <c r="AP210" s="12" t="str">
        <f aca="false">IF(AM210="","",AM210/10)</f>
        <v/>
      </c>
      <c r="AQ210" s="12" t="str">
        <f aca="false">IF(AN210="","",AN210/8)</f>
        <v/>
      </c>
      <c r="AR210" s="11" t="str">
        <f aca="false">IF(A210="","",IF(OR(F210=1,G210=1,AND(E210&lt;&gt;"",E210&lt;=2)),2,IF(AND(E210&gt;=3,G210=2,OR(F210=2,F210=3)),1,"")))</f>
        <v/>
      </c>
      <c r="AS210" s="11" t="str">
        <f aca="false">IF(AR210=1,"טיפוסי",IF(AR210=2,"מתקשה",""))</f>
        <v/>
      </c>
      <c r="AT210" s="12" t="str">
        <f aca="false">IF(AR210=1,AO210,"")</f>
        <v/>
      </c>
      <c r="AU210" s="12" t="str">
        <f aca="false">IF(AR210=2,AO210,"")</f>
        <v/>
      </c>
      <c r="AV210" s="12" t="str">
        <f aca="false">IF(AR210=1,AP210,"")</f>
        <v/>
      </c>
      <c r="AW210" s="12" t="str">
        <f aca="false">IF(AR210=2,AP210,"")</f>
        <v/>
      </c>
      <c r="AX210" s="12" t="str">
        <f aca="false">IF(AR210=1,AQ210,"")</f>
        <v/>
      </c>
      <c r="AY210" s="12" t="str">
        <f aca="false">IF(AR210=2,AQ210,"")</f>
        <v/>
      </c>
    </row>
    <row r="211" customFormat="false" ht="15" hidden="false" customHeight="tru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1" t="str">
        <f aca="false">IF(V211="","",6-V211)</f>
        <v/>
      </c>
      <c r="AI211" s="11" t="str">
        <f aca="false">IF(W211="","",6-W211)</f>
        <v/>
      </c>
      <c r="AJ211" s="11" t="str">
        <f aca="false">IF(X211="","",6-X211)</f>
        <v/>
      </c>
      <c r="AK211" s="11" t="str">
        <f aca="false">IF(Y211="","",6-Y211)</f>
        <v/>
      </c>
      <c r="AL211" s="11" t="str">
        <f aca="false">IF(COUNT(H211:O211)=8,SUM(H211:O211),"")</f>
        <v/>
      </c>
      <c r="AM211" s="11" t="str">
        <f aca="false">IF(COUNT(P211:U211,AH211:AK211)=10,SUM(P211:U211,AH211:AK211),"")</f>
        <v/>
      </c>
      <c r="AN211" s="11" t="str">
        <f aca="false">IF(COUNT(Z211:AG211)=8,SUM(Z211:AG211),"")</f>
        <v/>
      </c>
      <c r="AO211" s="12" t="str">
        <f aca="false">IF(AL211="","",AL211/8)</f>
        <v/>
      </c>
      <c r="AP211" s="12" t="str">
        <f aca="false">IF(AM211="","",AM211/10)</f>
        <v/>
      </c>
      <c r="AQ211" s="12" t="str">
        <f aca="false">IF(AN211="","",AN211/8)</f>
        <v/>
      </c>
      <c r="AR211" s="11" t="str">
        <f aca="false">IF(A211="","",IF(OR(F211=1,G211=1,AND(E211&lt;&gt;"",E211&lt;=2)),2,IF(AND(E211&gt;=3,G211=2,OR(F211=2,F211=3)),1,"")))</f>
        <v/>
      </c>
      <c r="AS211" s="11" t="str">
        <f aca="false">IF(AR211=1,"טיפוסי",IF(AR211=2,"מתקשה",""))</f>
        <v/>
      </c>
      <c r="AT211" s="12" t="str">
        <f aca="false">IF(AR211=1,AO211,"")</f>
        <v/>
      </c>
      <c r="AU211" s="12" t="str">
        <f aca="false">IF(AR211=2,AO211,"")</f>
        <v/>
      </c>
      <c r="AV211" s="12" t="str">
        <f aca="false">IF(AR211=1,AP211,"")</f>
        <v/>
      </c>
      <c r="AW211" s="12" t="str">
        <f aca="false">IF(AR211=2,AP211,"")</f>
        <v/>
      </c>
      <c r="AX211" s="12" t="str">
        <f aca="false">IF(AR211=1,AQ211,"")</f>
        <v/>
      </c>
      <c r="AY211" s="12" t="str">
        <f aca="false">IF(AR211=2,AQ211,"")</f>
        <v/>
      </c>
    </row>
    <row r="212" customFormat="false" ht="15" hidden="false" customHeight="true" outlineLevel="0" collapsed="false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1" t="str">
        <f aca="false">IF(V212="","",6-V212)</f>
        <v/>
      </c>
      <c r="AI212" s="11" t="str">
        <f aca="false">IF(W212="","",6-W212)</f>
        <v/>
      </c>
      <c r="AJ212" s="11" t="str">
        <f aca="false">IF(X212="","",6-X212)</f>
        <v/>
      </c>
      <c r="AK212" s="11" t="str">
        <f aca="false">IF(Y212="","",6-Y212)</f>
        <v/>
      </c>
      <c r="AL212" s="11" t="str">
        <f aca="false">IF(COUNT(H212:O212)=8,SUM(H212:O212),"")</f>
        <v/>
      </c>
      <c r="AM212" s="11" t="str">
        <f aca="false">IF(COUNT(P212:U212,AH212:AK212)=10,SUM(P212:U212,AH212:AK212),"")</f>
        <v/>
      </c>
      <c r="AN212" s="11" t="str">
        <f aca="false">IF(COUNT(Z212:AG212)=8,SUM(Z212:AG212),"")</f>
        <v/>
      </c>
      <c r="AO212" s="12" t="str">
        <f aca="false">IF(AL212="","",AL212/8)</f>
        <v/>
      </c>
      <c r="AP212" s="12" t="str">
        <f aca="false">IF(AM212="","",AM212/10)</f>
        <v/>
      </c>
      <c r="AQ212" s="12" t="str">
        <f aca="false">IF(AN212="","",AN212/8)</f>
        <v/>
      </c>
      <c r="AR212" s="11" t="str">
        <f aca="false">IF(A212="","",IF(OR(F212=1,G212=1,AND(E212&lt;&gt;"",E212&lt;=2)),2,IF(AND(E212&gt;=3,G212=2,OR(F212=2,F212=3)),1,"")))</f>
        <v/>
      </c>
      <c r="AS212" s="11" t="str">
        <f aca="false">IF(AR212=1,"טיפוסי",IF(AR212=2,"מתקשה",""))</f>
        <v/>
      </c>
      <c r="AT212" s="12" t="str">
        <f aca="false">IF(AR212=1,AO212,"")</f>
        <v/>
      </c>
      <c r="AU212" s="12" t="str">
        <f aca="false">IF(AR212=2,AO212,"")</f>
        <v/>
      </c>
      <c r="AV212" s="12" t="str">
        <f aca="false">IF(AR212=1,AP212,"")</f>
        <v/>
      </c>
      <c r="AW212" s="12" t="str">
        <f aca="false">IF(AR212=2,AP212,"")</f>
        <v/>
      </c>
      <c r="AX212" s="12" t="str">
        <f aca="false">IF(AR212=1,AQ212,"")</f>
        <v/>
      </c>
      <c r="AY212" s="12" t="str">
        <f aca="false">IF(AR212=2,AQ212,"")</f>
        <v/>
      </c>
    </row>
    <row r="213" customFormat="false" ht="1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1" t="str">
        <f aca="false">IF(V213="","",6-V213)</f>
        <v/>
      </c>
      <c r="AI213" s="11" t="str">
        <f aca="false">IF(W213="","",6-W213)</f>
        <v/>
      </c>
      <c r="AJ213" s="11" t="str">
        <f aca="false">IF(X213="","",6-X213)</f>
        <v/>
      </c>
      <c r="AK213" s="11" t="str">
        <f aca="false">IF(Y213="","",6-Y213)</f>
        <v/>
      </c>
      <c r="AL213" s="11" t="str">
        <f aca="false">IF(COUNT(H213:O213)=8,SUM(H213:O213),"")</f>
        <v/>
      </c>
      <c r="AM213" s="11" t="str">
        <f aca="false">IF(COUNT(P213:U213,AH213:AK213)=10,SUM(P213:U213,AH213:AK213),"")</f>
        <v/>
      </c>
      <c r="AN213" s="11" t="str">
        <f aca="false">IF(COUNT(Z213:AG213)=8,SUM(Z213:AG213),"")</f>
        <v/>
      </c>
      <c r="AO213" s="12" t="str">
        <f aca="false">IF(AL213="","",AL213/8)</f>
        <v/>
      </c>
      <c r="AP213" s="12" t="str">
        <f aca="false">IF(AM213="","",AM213/10)</f>
        <v/>
      </c>
      <c r="AQ213" s="12" t="str">
        <f aca="false">IF(AN213="","",AN213/8)</f>
        <v/>
      </c>
      <c r="AR213" s="11" t="str">
        <f aca="false">IF(A213="","",IF(OR(F213=1,G213=1,AND(E213&lt;&gt;"",E213&lt;=2)),2,IF(AND(E213&gt;=3,G213=2,OR(F213=2,F213=3)),1,"")))</f>
        <v/>
      </c>
      <c r="AS213" s="11" t="str">
        <f aca="false">IF(AR213=1,"טיפוסי",IF(AR213=2,"מתקשה",""))</f>
        <v/>
      </c>
      <c r="AT213" s="12" t="str">
        <f aca="false">IF(AR213=1,AO213,"")</f>
        <v/>
      </c>
      <c r="AU213" s="12" t="str">
        <f aca="false">IF(AR213=2,AO213,"")</f>
        <v/>
      </c>
      <c r="AV213" s="12" t="str">
        <f aca="false">IF(AR213=1,AP213,"")</f>
        <v/>
      </c>
      <c r="AW213" s="12" t="str">
        <f aca="false">IF(AR213=2,AP213,"")</f>
        <v/>
      </c>
      <c r="AX213" s="12" t="str">
        <f aca="false">IF(AR213=1,AQ213,"")</f>
        <v/>
      </c>
      <c r="AY213" s="12" t="str">
        <f aca="false">IF(AR213=2,AQ213,"")</f>
        <v/>
      </c>
    </row>
    <row r="214" customFormat="false" ht="15" hidden="false" customHeight="true" outlineLevel="0" collapsed="false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1" t="str">
        <f aca="false">IF(V214="","",6-V214)</f>
        <v/>
      </c>
      <c r="AI214" s="11" t="str">
        <f aca="false">IF(W214="","",6-W214)</f>
        <v/>
      </c>
      <c r="AJ214" s="11" t="str">
        <f aca="false">IF(X214="","",6-X214)</f>
        <v/>
      </c>
      <c r="AK214" s="11" t="str">
        <f aca="false">IF(Y214="","",6-Y214)</f>
        <v/>
      </c>
      <c r="AL214" s="11" t="str">
        <f aca="false">IF(COUNT(H214:O214)=8,SUM(H214:O214),"")</f>
        <v/>
      </c>
      <c r="AM214" s="11" t="str">
        <f aca="false">IF(COUNT(P214:U214,AH214:AK214)=10,SUM(P214:U214,AH214:AK214),"")</f>
        <v/>
      </c>
      <c r="AN214" s="11" t="str">
        <f aca="false">IF(COUNT(Z214:AG214)=8,SUM(Z214:AG214),"")</f>
        <v/>
      </c>
      <c r="AO214" s="12" t="str">
        <f aca="false">IF(AL214="","",AL214/8)</f>
        <v/>
      </c>
      <c r="AP214" s="12" t="str">
        <f aca="false">IF(AM214="","",AM214/10)</f>
        <v/>
      </c>
      <c r="AQ214" s="12" t="str">
        <f aca="false">IF(AN214="","",AN214/8)</f>
        <v/>
      </c>
      <c r="AR214" s="11" t="str">
        <f aca="false">IF(A214="","",IF(OR(F214=1,G214=1,AND(E214&lt;&gt;"",E214&lt;=2)),2,IF(AND(E214&gt;=3,G214=2,OR(F214=2,F214=3)),1,"")))</f>
        <v/>
      </c>
      <c r="AS214" s="11" t="str">
        <f aca="false">IF(AR214=1,"טיפוסי",IF(AR214=2,"מתקשה",""))</f>
        <v/>
      </c>
      <c r="AT214" s="12" t="str">
        <f aca="false">IF(AR214=1,AO214,"")</f>
        <v/>
      </c>
      <c r="AU214" s="12" t="str">
        <f aca="false">IF(AR214=2,AO214,"")</f>
        <v/>
      </c>
      <c r="AV214" s="12" t="str">
        <f aca="false">IF(AR214=1,AP214,"")</f>
        <v/>
      </c>
      <c r="AW214" s="12" t="str">
        <f aca="false">IF(AR214=2,AP214,"")</f>
        <v/>
      </c>
      <c r="AX214" s="12" t="str">
        <f aca="false">IF(AR214=1,AQ214,"")</f>
        <v/>
      </c>
      <c r="AY214" s="12" t="str">
        <f aca="false">IF(AR214=2,AQ214,"")</f>
        <v/>
      </c>
    </row>
    <row r="215" customFormat="false" ht="15" hidden="false" customHeight="tru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1" t="str">
        <f aca="false">IF(V215="","",6-V215)</f>
        <v/>
      </c>
      <c r="AI215" s="11" t="str">
        <f aca="false">IF(W215="","",6-W215)</f>
        <v/>
      </c>
      <c r="AJ215" s="11" t="str">
        <f aca="false">IF(X215="","",6-X215)</f>
        <v/>
      </c>
      <c r="AK215" s="11" t="str">
        <f aca="false">IF(Y215="","",6-Y215)</f>
        <v/>
      </c>
      <c r="AL215" s="11" t="str">
        <f aca="false">IF(COUNT(H215:O215)=8,SUM(H215:O215),"")</f>
        <v/>
      </c>
      <c r="AM215" s="11" t="str">
        <f aca="false">IF(COUNT(P215:U215,AH215:AK215)=10,SUM(P215:U215,AH215:AK215),"")</f>
        <v/>
      </c>
      <c r="AN215" s="11" t="str">
        <f aca="false">IF(COUNT(Z215:AG215)=8,SUM(Z215:AG215),"")</f>
        <v/>
      </c>
      <c r="AO215" s="12" t="str">
        <f aca="false">IF(AL215="","",AL215/8)</f>
        <v/>
      </c>
      <c r="AP215" s="12" t="str">
        <f aca="false">IF(AM215="","",AM215/10)</f>
        <v/>
      </c>
      <c r="AQ215" s="12" t="str">
        <f aca="false">IF(AN215="","",AN215/8)</f>
        <v/>
      </c>
      <c r="AR215" s="11" t="str">
        <f aca="false">IF(A215="","",IF(OR(F215=1,G215=1,AND(E215&lt;&gt;"",E215&lt;=2)),2,IF(AND(E215&gt;=3,G215=2,OR(F215=2,F215=3)),1,"")))</f>
        <v/>
      </c>
      <c r="AS215" s="11" t="str">
        <f aca="false">IF(AR215=1,"טיפוסי",IF(AR215=2,"מתקשה",""))</f>
        <v/>
      </c>
      <c r="AT215" s="12" t="str">
        <f aca="false">IF(AR215=1,AO215,"")</f>
        <v/>
      </c>
      <c r="AU215" s="12" t="str">
        <f aca="false">IF(AR215=2,AO215,"")</f>
        <v/>
      </c>
      <c r="AV215" s="12" t="str">
        <f aca="false">IF(AR215=1,AP215,"")</f>
        <v/>
      </c>
      <c r="AW215" s="12" t="str">
        <f aca="false">IF(AR215=2,AP215,"")</f>
        <v/>
      </c>
      <c r="AX215" s="12" t="str">
        <f aca="false">IF(AR215=1,AQ215,"")</f>
        <v/>
      </c>
      <c r="AY215" s="12" t="str">
        <f aca="false">IF(AR215=2,AQ215,"")</f>
        <v/>
      </c>
    </row>
    <row r="216" customFormat="false" ht="15" hidden="false" customHeight="true" outlineLevel="0" collapsed="false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1" t="str">
        <f aca="false">IF(V216="","",6-V216)</f>
        <v/>
      </c>
      <c r="AI216" s="11" t="str">
        <f aca="false">IF(W216="","",6-W216)</f>
        <v/>
      </c>
      <c r="AJ216" s="11" t="str">
        <f aca="false">IF(X216="","",6-X216)</f>
        <v/>
      </c>
      <c r="AK216" s="11" t="str">
        <f aca="false">IF(Y216="","",6-Y216)</f>
        <v/>
      </c>
      <c r="AL216" s="11" t="str">
        <f aca="false">IF(COUNT(H216:O216)=8,SUM(H216:O216),"")</f>
        <v/>
      </c>
      <c r="AM216" s="11" t="str">
        <f aca="false">IF(COUNT(P216:U216,AH216:AK216)=10,SUM(P216:U216,AH216:AK216),"")</f>
        <v/>
      </c>
      <c r="AN216" s="11" t="str">
        <f aca="false">IF(COUNT(Z216:AG216)=8,SUM(Z216:AG216),"")</f>
        <v/>
      </c>
      <c r="AO216" s="12" t="str">
        <f aca="false">IF(AL216="","",AL216/8)</f>
        <v/>
      </c>
      <c r="AP216" s="12" t="str">
        <f aca="false">IF(AM216="","",AM216/10)</f>
        <v/>
      </c>
      <c r="AQ216" s="12" t="str">
        <f aca="false">IF(AN216="","",AN216/8)</f>
        <v/>
      </c>
      <c r="AR216" s="11" t="str">
        <f aca="false">IF(A216="","",IF(OR(F216=1,G216=1,AND(E216&lt;&gt;"",E216&lt;=2)),2,IF(AND(E216&gt;=3,G216=2,OR(F216=2,F216=3)),1,"")))</f>
        <v/>
      </c>
      <c r="AS216" s="11" t="str">
        <f aca="false">IF(AR216=1,"טיפוסי",IF(AR216=2,"מתקשה",""))</f>
        <v/>
      </c>
      <c r="AT216" s="12" t="str">
        <f aca="false">IF(AR216=1,AO216,"")</f>
        <v/>
      </c>
      <c r="AU216" s="12" t="str">
        <f aca="false">IF(AR216=2,AO216,"")</f>
        <v/>
      </c>
      <c r="AV216" s="12" t="str">
        <f aca="false">IF(AR216=1,AP216,"")</f>
        <v/>
      </c>
      <c r="AW216" s="12" t="str">
        <f aca="false">IF(AR216=2,AP216,"")</f>
        <v/>
      </c>
      <c r="AX216" s="12" t="str">
        <f aca="false">IF(AR216=1,AQ216,"")</f>
        <v/>
      </c>
      <c r="AY216" s="12" t="str">
        <f aca="false">IF(AR216=2,AQ216,"")</f>
        <v/>
      </c>
    </row>
    <row r="217" customFormat="false" ht="1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1" t="str">
        <f aca="false">IF(V217="","",6-V217)</f>
        <v/>
      </c>
      <c r="AI217" s="11" t="str">
        <f aca="false">IF(W217="","",6-W217)</f>
        <v/>
      </c>
      <c r="AJ217" s="11" t="str">
        <f aca="false">IF(X217="","",6-X217)</f>
        <v/>
      </c>
      <c r="AK217" s="11" t="str">
        <f aca="false">IF(Y217="","",6-Y217)</f>
        <v/>
      </c>
      <c r="AL217" s="11" t="str">
        <f aca="false">IF(COUNT(H217:O217)=8,SUM(H217:O217),"")</f>
        <v/>
      </c>
      <c r="AM217" s="11" t="str">
        <f aca="false">IF(COUNT(P217:U217,AH217:AK217)=10,SUM(P217:U217,AH217:AK217),"")</f>
        <v/>
      </c>
      <c r="AN217" s="11" t="str">
        <f aca="false">IF(COUNT(Z217:AG217)=8,SUM(Z217:AG217),"")</f>
        <v/>
      </c>
      <c r="AO217" s="12" t="str">
        <f aca="false">IF(AL217="","",AL217/8)</f>
        <v/>
      </c>
      <c r="AP217" s="12" t="str">
        <f aca="false">IF(AM217="","",AM217/10)</f>
        <v/>
      </c>
      <c r="AQ217" s="12" t="str">
        <f aca="false">IF(AN217="","",AN217/8)</f>
        <v/>
      </c>
      <c r="AR217" s="11" t="str">
        <f aca="false">IF(A217="","",IF(OR(F217=1,G217=1,AND(E217&lt;&gt;"",E217&lt;=2)),2,IF(AND(E217&gt;=3,G217=2,OR(F217=2,F217=3)),1,"")))</f>
        <v/>
      </c>
      <c r="AS217" s="11" t="str">
        <f aca="false">IF(AR217=1,"טיפוסי",IF(AR217=2,"מתקשה",""))</f>
        <v/>
      </c>
      <c r="AT217" s="12" t="str">
        <f aca="false">IF(AR217=1,AO217,"")</f>
        <v/>
      </c>
      <c r="AU217" s="12" t="str">
        <f aca="false">IF(AR217=2,AO217,"")</f>
        <v/>
      </c>
      <c r="AV217" s="12" t="str">
        <f aca="false">IF(AR217=1,AP217,"")</f>
        <v/>
      </c>
      <c r="AW217" s="12" t="str">
        <f aca="false">IF(AR217=2,AP217,"")</f>
        <v/>
      </c>
      <c r="AX217" s="12" t="str">
        <f aca="false">IF(AR217=1,AQ217,"")</f>
        <v/>
      </c>
      <c r="AY217" s="12" t="str">
        <f aca="false">IF(AR217=2,AQ217,"")</f>
        <v/>
      </c>
    </row>
    <row r="218" customFormat="false" ht="15" hidden="false" customHeight="true" outlineLevel="0" collapsed="false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1" t="str">
        <f aca="false">IF(V218="","",6-V218)</f>
        <v/>
      </c>
      <c r="AI218" s="11" t="str">
        <f aca="false">IF(W218="","",6-W218)</f>
        <v/>
      </c>
      <c r="AJ218" s="11" t="str">
        <f aca="false">IF(X218="","",6-X218)</f>
        <v/>
      </c>
      <c r="AK218" s="11" t="str">
        <f aca="false">IF(Y218="","",6-Y218)</f>
        <v/>
      </c>
      <c r="AL218" s="11" t="str">
        <f aca="false">IF(COUNT(H218:O218)=8,SUM(H218:O218),"")</f>
        <v/>
      </c>
      <c r="AM218" s="11" t="str">
        <f aca="false">IF(COUNT(P218:U218,AH218:AK218)=10,SUM(P218:U218,AH218:AK218),"")</f>
        <v/>
      </c>
      <c r="AN218" s="11" t="str">
        <f aca="false">IF(COUNT(Z218:AG218)=8,SUM(Z218:AG218),"")</f>
        <v/>
      </c>
      <c r="AO218" s="12" t="str">
        <f aca="false">IF(AL218="","",AL218/8)</f>
        <v/>
      </c>
      <c r="AP218" s="12" t="str">
        <f aca="false">IF(AM218="","",AM218/10)</f>
        <v/>
      </c>
      <c r="AQ218" s="12" t="str">
        <f aca="false">IF(AN218="","",AN218/8)</f>
        <v/>
      </c>
      <c r="AR218" s="11" t="str">
        <f aca="false">IF(A218="","",IF(OR(F218=1,G218=1,AND(E218&lt;&gt;"",E218&lt;=2)),2,IF(AND(E218&gt;=3,G218=2,OR(F218=2,F218=3)),1,"")))</f>
        <v/>
      </c>
      <c r="AS218" s="11" t="str">
        <f aca="false">IF(AR218=1,"טיפוסי",IF(AR218=2,"מתקשה",""))</f>
        <v/>
      </c>
      <c r="AT218" s="12" t="str">
        <f aca="false">IF(AR218=1,AO218,"")</f>
        <v/>
      </c>
      <c r="AU218" s="12" t="str">
        <f aca="false">IF(AR218=2,AO218,"")</f>
        <v/>
      </c>
      <c r="AV218" s="12" t="str">
        <f aca="false">IF(AR218=1,AP218,"")</f>
        <v/>
      </c>
      <c r="AW218" s="12" t="str">
        <f aca="false">IF(AR218=2,AP218,"")</f>
        <v/>
      </c>
      <c r="AX218" s="12" t="str">
        <f aca="false">IF(AR218=1,AQ218,"")</f>
        <v/>
      </c>
      <c r="AY218" s="12" t="str">
        <f aca="false">IF(AR218=2,AQ218,"")</f>
        <v/>
      </c>
    </row>
    <row r="219" customFormat="false" ht="15" hidden="false" customHeight="tru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1" t="str">
        <f aca="false">IF(V219="","",6-V219)</f>
        <v/>
      </c>
      <c r="AI219" s="11" t="str">
        <f aca="false">IF(W219="","",6-W219)</f>
        <v/>
      </c>
      <c r="AJ219" s="11" t="str">
        <f aca="false">IF(X219="","",6-X219)</f>
        <v/>
      </c>
      <c r="AK219" s="11" t="str">
        <f aca="false">IF(Y219="","",6-Y219)</f>
        <v/>
      </c>
      <c r="AL219" s="11" t="str">
        <f aca="false">IF(COUNT(H219:O219)=8,SUM(H219:O219),"")</f>
        <v/>
      </c>
      <c r="AM219" s="11" t="str">
        <f aca="false">IF(COUNT(P219:U219,AH219:AK219)=10,SUM(P219:U219,AH219:AK219),"")</f>
        <v/>
      </c>
      <c r="AN219" s="11" t="str">
        <f aca="false">IF(COUNT(Z219:AG219)=8,SUM(Z219:AG219),"")</f>
        <v/>
      </c>
      <c r="AO219" s="12" t="str">
        <f aca="false">IF(AL219="","",AL219/8)</f>
        <v/>
      </c>
      <c r="AP219" s="12" t="str">
        <f aca="false">IF(AM219="","",AM219/10)</f>
        <v/>
      </c>
      <c r="AQ219" s="12" t="str">
        <f aca="false">IF(AN219="","",AN219/8)</f>
        <v/>
      </c>
      <c r="AR219" s="11" t="str">
        <f aca="false">IF(A219="","",IF(OR(F219=1,G219=1,AND(E219&lt;&gt;"",E219&lt;=2)),2,IF(AND(E219&gt;=3,G219=2,OR(F219=2,F219=3)),1,"")))</f>
        <v/>
      </c>
      <c r="AS219" s="11" t="str">
        <f aca="false">IF(AR219=1,"טיפוסי",IF(AR219=2,"מתקשה",""))</f>
        <v/>
      </c>
      <c r="AT219" s="12" t="str">
        <f aca="false">IF(AR219=1,AO219,"")</f>
        <v/>
      </c>
      <c r="AU219" s="12" t="str">
        <f aca="false">IF(AR219=2,AO219,"")</f>
        <v/>
      </c>
      <c r="AV219" s="12" t="str">
        <f aca="false">IF(AR219=1,AP219,"")</f>
        <v/>
      </c>
      <c r="AW219" s="12" t="str">
        <f aca="false">IF(AR219=2,AP219,"")</f>
        <v/>
      </c>
      <c r="AX219" s="12" t="str">
        <f aca="false">IF(AR219=1,AQ219,"")</f>
        <v/>
      </c>
      <c r="AY219" s="12" t="str">
        <f aca="false">IF(AR219=2,AQ219,"")</f>
        <v/>
      </c>
    </row>
    <row r="220" customFormat="false" ht="15" hidden="false" customHeight="true" outlineLevel="0" collapsed="false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1" t="str">
        <f aca="false">IF(V220="","",6-V220)</f>
        <v/>
      </c>
      <c r="AI220" s="11" t="str">
        <f aca="false">IF(W220="","",6-W220)</f>
        <v/>
      </c>
      <c r="AJ220" s="11" t="str">
        <f aca="false">IF(X220="","",6-X220)</f>
        <v/>
      </c>
      <c r="AK220" s="11" t="str">
        <f aca="false">IF(Y220="","",6-Y220)</f>
        <v/>
      </c>
      <c r="AL220" s="11" t="str">
        <f aca="false">IF(COUNT(H220:O220)=8,SUM(H220:O220),"")</f>
        <v/>
      </c>
      <c r="AM220" s="11" t="str">
        <f aca="false">IF(COUNT(P220:U220,AH220:AK220)=10,SUM(P220:U220,AH220:AK220),"")</f>
        <v/>
      </c>
      <c r="AN220" s="11" t="str">
        <f aca="false">IF(COUNT(Z220:AG220)=8,SUM(Z220:AG220),"")</f>
        <v/>
      </c>
      <c r="AO220" s="12" t="str">
        <f aca="false">IF(AL220="","",AL220/8)</f>
        <v/>
      </c>
      <c r="AP220" s="12" t="str">
        <f aca="false">IF(AM220="","",AM220/10)</f>
        <v/>
      </c>
      <c r="AQ220" s="12" t="str">
        <f aca="false">IF(AN220="","",AN220/8)</f>
        <v/>
      </c>
      <c r="AR220" s="11" t="str">
        <f aca="false">IF(A220="","",IF(OR(F220=1,G220=1,AND(E220&lt;&gt;"",E220&lt;=2)),2,IF(AND(E220&gt;=3,G220=2,OR(F220=2,F220=3)),1,"")))</f>
        <v/>
      </c>
      <c r="AS220" s="11" t="str">
        <f aca="false">IF(AR220=1,"טיפוסי",IF(AR220=2,"מתקשה",""))</f>
        <v/>
      </c>
      <c r="AT220" s="12" t="str">
        <f aca="false">IF(AR220=1,AO220,"")</f>
        <v/>
      </c>
      <c r="AU220" s="12" t="str">
        <f aca="false">IF(AR220=2,AO220,"")</f>
        <v/>
      </c>
      <c r="AV220" s="12" t="str">
        <f aca="false">IF(AR220=1,AP220,"")</f>
        <v/>
      </c>
      <c r="AW220" s="12" t="str">
        <f aca="false">IF(AR220=2,AP220,"")</f>
        <v/>
      </c>
      <c r="AX220" s="12" t="str">
        <f aca="false">IF(AR220=1,AQ220,"")</f>
        <v/>
      </c>
      <c r="AY220" s="12" t="str">
        <f aca="false">IF(AR220=2,AQ220,"")</f>
        <v/>
      </c>
    </row>
    <row r="221" customFormat="false" ht="15" hidden="false" customHeight="tru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1" t="str">
        <f aca="false">IF(V221="","",6-V221)</f>
        <v/>
      </c>
      <c r="AI221" s="11" t="str">
        <f aca="false">IF(W221="","",6-W221)</f>
        <v/>
      </c>
      <c r="AJ221" s="11" t="str">
        <f aca="false">IF(X221="","",6-X221)</f>
        <v/>
      </c>
      <c r="AK221" s="11" t="str">
        <f aca="false">IF(Y221="","",6-Y221)</f>
        <v/>
      </c>
      <c r="AL221" s="11" t="str">
        <f aca="false">IF(COUNT(H221:O221)=8,SUM(H221:O221),"")</f>
        <v/>
      </c>
      <c r="AM221" s="11" t="str">
        <f aca="false">IF(COUNT(P221:U221,AH221:AK221)=10,SUM(P221:U221,AH221:AK221),"")</f>
        <v/>
      </c>
      <c r="AN221" s="11" t="str">
        <f aca="false">IF(COUNT(Z221:AG221)=8,SUM(Z221:AG221),"")</f>
        <v/>
      </c>
      <c r="AO221" s="12" t="str">
        <f aca="false">IF(AL221="","",AL221/8)</f>
        <v/>
      </c>
      <c r="AP221" s="12" t="str">
        <f aca="false">IF(AM221="","",AM221/10)</f>
        <v/>
      </c>
      <c r="AQ221" s="12" t="str">
        <f aca="false">IF(AN221="","",AN221/8)</f>
        <v/>
      </c>
      <c r="AR221" s="11" t="str">
        <f aca="false">IF(A221="","",IF(OR(F221=1,G221=1,AND(E221&lt;&gt;"",E221&lt;=2)),2,IF(AND(E221&gt;=3,G221=2,OR(F221=2,F221=3)),1,"")))</f>
        <v/>
      </c>
      <c r="AS221" s="11" t="str">
        <f aca="false">IF(AR221=1,"טיפוסי",IF(AR221=2,"מתקשה",""))</f>
        <v/>
      </c>
      <c r="AT221" s="12" t="str">
        <f aca="false">IF(AR221=1,AO221,"")</f>
        <v/>
      </c>
      <c r="AU221" s="12" t="str">
        <f aca="false">IF(AR221=2,AO221,"")</f>
        <v/>
      </c>
      <c r="AV221" s="12" t="str">
        <f aca="false">IF(AR221=1,AP221,"")</f>
        <v/>
      </c>
      <c r="AW221" s="12" t="str">
        <f aca="false">IF(AR221=2,AP221,"")</f>
        <v/>
      </c>
      <c r="AX221" s="12" t="str">
        <f aca="false">IF(AR221=1,AQ221,"")</f>
        <v/>
      </c>
      <c r="AY221" s="12" t="str">
        <f aca="false">IF(AR221=2,AQ221,"")</f>
        <v/>
      </c>
    </row>
    <row r="222" customFormat="false" ht="15" hidden="false" customHeight="true" outlineLevel="0" collapsed="false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1" t="str">
        <f aca="false">IF(V222="","",6-V222)</f>
        <v/>
      </c>
      <c r="AI222" s="11" t="str">
        <f aca="false">IF(W222="","",6-W222)</f>
        <v/>
      </c>
      <c r="AJ222" s="11" t="str">
        <f aca="false">IF(X222="","",6-X222)</f>
        <v/>
      </c>
      <c r="AK222" s="11" t="str">
        <f aca="false">IF(Y222="","",6-Y222)</f>
        <v/>
      </c>
      <c r="AL222" s="11" t="str">
        <f aca="false">IF(COUNT(H222:O222)=8,SUM(H222:O222),"")</f>
        <v/>
      </c>
      <c r="AM222" s="11" t="str">
        <f aca="false">IF(COUNT(P222:U222,AH222:AK222)=10,SUM(P222:U222,AH222:AK222),"")</f>
        <v/>
      </c>
      <c r="AN222" s="11" t="str">
        <f aca="false">IF(COUNT(Z222:AG222)=8,SUM(Z222:AG222),"")</f>
        <v/>
      </c>
      <c r="AO222" s="12" t="str">
        <f aca="false">IF(AL222="","",AL222/8)</f>
        <v/>
      </c>
      <c r="AP222" s="12" t="str">
        <f aca="false">IF(AM222="","",AM222/10)</f>
        <v/>
      </c>
      <c r="AQ222" s="12" t="str">
        <f aca="false">IF(AN222="","",AN222/8)</f>
        <v/>
      </c>
      <c r="AR222" s="11" t="str">
        <f aca="false">IF(A222="","",IF(OR(F222=1,G222=1,AND(E222&lt;&gt;"",E222&lt;=2)),2,IF(AND(E222&gt;=3,G222=2,OR(F222=2,F222=3)),1,"")))</f>
        <v/>
      </c>
      <c r="AS222" s="11" t="str">
        <f aca="false">IF(AR222=1,"טיפוסי",IF(AR222=2,"מתקשה",""))</f>
        <v/>
      </c>
      <c r="AT222" s="12" t="str">
        <f aca="false">IF(AR222=1,AO222,"")</f>
        <v/>
      </c>
      <c r="AU222" s="12" t="str">
        <f aca="false">IF(AR222=2,AO222,"")</f>
        <v/>
      </c>
      <c r="AV222" s="12" t="str">
        <f aca="false">IF(AR222=1,AP222,"")</f>
        <v/>
      </c>
      <c r="AW222" s="12" t="str">
        <f aca="false">IF(AR222=2,AP222,"")</f>
        <v/>
      </c>
      <c r="AX222" s="12" t="str">
        <f aca="false">IF(AR222=1,AQ222,"")</f>
        <v/>
      </c>
      <c r="AY222" s="12" t="str">
        <f aca="false">IF(AR222=2,AQ222,"")</f>
        <v/>
      </c>
    </row>
    <row r="223" customFormat="false" ht="1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1" t="str">
        <f aca="false">IF(V223="","",6-V223)</f>
        <v/>
      </c>
      <c r="AI223" s="11" t="str">
        <f aca="false">IF(W223="","",6-W223)</f>
        <v/>
      </c>
      <c r="AJ223" s="11" t="str">
        <f aca="false">IF(X223="","",6-X223)</f>
        <v/>
      </c>
      <c r="AK223" s="11" t="str">
        <f aca="false">IF(Y223="","",6-Y223)</f>
        <v/>
      </c>
      <c r="AL223" s="11" t="str">
        <f aca="false">IF(COUNT(H223:O223)=8,SUM(H223:O223),"")</f>
        <v/>
      </c>
      <c r="AM223" s="11" t="str">
        <f aca="false">IF(COUNT(P223:U223,AH223:AK223)=10,SUM(P223:U223,AH223:AK223),"")</f>
        <v/>
      </c>
      <c r="AN223" s="11" t="str">
        <f aca="false">IF(COUNT(Z223:AG223)=8,SUM(Z223:AG223),"")</f>
        <v/>
      </c>
      <c r="AO223" s="12" t="str">
        <f aca="false">IF(AL223="","",AL223/8)</f>
        <v/>
      </c>
      <c r="AP223" s="12" t="str">
        <f aca="false">IF(AM223="","",AM223/10)</f>
        <v/>
      </c>
      <c r="AQ223" s="12" t="str">
        <f aca="false">IF(AN223="","",AN223/8)</f>
        <v/>
      </c>
      <c r="AR223" s="11" t="str">
        <f aca="false">IF(A223="","",IF(OR(F223=1,G223=1,AND(E223&lt;&gt;"",E223&lt;=2)),2,IF(AND(E223&gt;=3,G223=2,OR(F223=2,F223=3)),1,"")))</f>
        <v/>
      </c>
      <c r="AS223" s="11" t="str">
        <f aca="false">IF(AR223=1,"טיפוסי",IF(AR223=2,"מתקשה",""))</f>
        <v/>
      </c>
      <c r="AT223" s="12" t="str">
        <f aca="false">IF(AR223=1,AO223,"")</f>
        <v/>
      </c>
      <c r="AU223" s="12" t="str">
        <f aca="false">IF(AR223=2,AO223,"")</f>
        <v/>
      </c>
      <c r="AV223" s="12" t="str">
        <f aca="false">IF(AR223=1,AP223,"")</f>
        <v/>
      </c>
      <c r="AW223" s="12" t="str">
        <f aca="false">IF(AR223=2,AP223,"")</f>
        <v/>
      </c>
      <c r="AX223" s="12" t="str">
        <f aca="false">IF(AR223=1,AQ223,"")</f>
        <v/>
      </c>
      <c r="AY223" s="12" t="str">
        <f aca="false">IF(AR223=2,AQ223,"")</f>
        <v/>
      </c>
    </row>
    <row r="224" customFormat="false" ht="15" hidden="false" customHeight="true" outlineLevel="0" collapsed="false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1" t="str">
        <f aca="false">IF(V224="","",6-V224)</f>
        <v/>
      </c>
      <c r="AI224" s="11" t="str">
        <f aca="false">IF(W224="","",6-W224)</f>
        <v/>
      </c>
      <c r="AJ224" s="11" t="str">
        <f aca="false">IF(X224="","",6-X224)</f>
        <v/>
      </c>
      <c r="AK224" s="11" t="str">
        <f aca="false">IF(Y224="","",6-Y224)</f>
        <v/>
      </c>
      <c r="AL224" s="11" t="str">
        <f aca="false">IF(COUNT(H224:O224)=8,SUM(H224:O224),"")</f>
        <v/>
      </c>
      <c r="AM224" s="11" t="str">
        <f aca="false">IF(COUNT(P224:U224,AH224:AK224)=10,SUM(P224:U224,AH224:AK224),"")</f>
        <v/>
      </c>
      <c r="AN224" s="11" t="str">
        <f aca="false">IF(COUNT(Z224:AG224)=8,SUM(Z224:AG224),"")</f>
        <v/>
      </c>
      <c r="AO224" s="12" t="str">
        <f aca="false">IF(AL224="","",AL224/8)</f>
        <v/>
      </c>
      <c r="AP224" s="12" t="str">
        <f aca="false">IF(AM224="","",AM224/10)</f>
        <v/>
      </c>
      <c r="AQ224" s="12" t="str">
        <f aca="false">IF(AN224="","",AN224/8)</f>
        <v/>
      </c>
      <c r="AR224" s="11" t="str">
        <f aca="false">IF(A224="","",IF(OR(F224=1,G224=1,AND(E224&lt;&gt;"",E224&lt;=2)),2,IF(AND(E224&gt;=3,G224=2,OR(F224=2,F224=3)),1,"")))</f>
        <v/>
      </c>
      <c r="AS224" s="11" t="str">
        <f aca="false">IF(AR224=1,"טיפוסי",IF(AR224=2,"מתקשה",""))</f>
        <v/>
      </c>
      <c r="AT224" s="12" t="str">
        <f aca="false">IF(AR224=1,AO224,"")</f>
        <v/>
      </c>
      <c r="AU224" s="12" t="str">
        <f aca="false">IF(AR224=2,AO224,"")</f>
        <v/>
      </c>
      <c r="AV224" s="12" t="str">
        <f aca="false">IF(AR224=1,AP224,"")</f>
        <v/>
      </c>
      <c r="AW224" s="12" t="str">
        <f aca="false">IF(AR224=2,AP224,"")</f>
        <v/>
      </c>
      <c r="AX224" s="12" t="str">
        <f aca="false">IF(AR224=1,AQ224,"")</f>
        <v/>
      </c>
      <c r="AY224" s="12" t="str">
        <f aca="false">IF(AR224=2,AQ224,"")</f>
        <v/>
      </c>
    </row>
    <row r="225" customFormat="false" ht="15" hidden="false" customHeight="true" outlineLevel="0" collapsed="false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1" t="str">
        <f aca="false">IF(V225="","",6-V225)</f>
        <v/>
      </c>
      <c r="AI225" s="11" t="str">
        <f aca="false">IF(W225="","",6-W225)</f>
        <v/>
      </c>
      <c r="AJ225" s="11" t="str">
        <f aca="false">IF(X225="","",6-X225)</f>
        <v/>
      </c>
      <c r="AK225" s="11" t="str">
        <f aca="false">IF(Y225="","",6-Y225)</f>
        <v/>
      </c>
      <c r="AL225" s="11" t="str">
        <f aca="false">IF(COUNT(H225:O225)=8,SUM(H225:O225),"")</f>
        <v/>
      </c>
      <c r="AM225" s="11" t="str">
        <f aca="false">IF(COUNT(P225:U225,AH225:AK225)=10,SUM(P225:U225,AH225:AK225),"")</f>
        <v/>
      </c>
      <c r="AN225" s="11" t="str">
        <f aca="false">IF(COUNT(Z225:AG225)=8,SUM(Z225:AG225),"")</f>
        <v/>
      </c>
      <c r="AO225" s="12" t="str">
        <f aca="false">IF(AL225="","",AL225/8)</f>
        <v/>
      </c>
      <c r="AP225" s="12" t="str">
        <f aca="false">IF(AM225="","",AM225/10)</f>
        <v/>
      </c>
      <c r="AQ225" s="12" t="str">
        <f aca="false">IF(AN225="","",AN225/8)</f>
        <v/>
      </c>
      <c r="AR225" s="11" t="str">
        <f aca="false">IF(A225="","",IF(OR(F225=1,G225=1,AND(E225&lt;&gt;"",E225&lt;=2)),2,IF(AND(E225&gt;=3,G225=2,OR(F225=2,F225=3)),1,"")))</f>
        <v/>
      </c>
      <c r="AS225" s="11" t="str">
        <f aca="false">IF(AR225=1,"טיפוסי",IF(AR225=2,"מתקשה",""))</f>
        <v/>
      </c>
      <c r="AT225" s="12" t="str">
        <f aca="false">IF(AR225=1,AO225,"")</f>
        <v/>
      </c>
      <c r="AU225" s="12" t="str">
        <f aca="false">IF(AR225=2,AO225,"")</f>
        <v/>
      </c>
      <c r="AV225" s="12" t="str">
        <f aca="false">IF(AR225=1,AP225,"")</f>
        <v/>
      </c>
      <c r="AW225" s="12" t="str">
        <f aca="false">IF(AR225=2,AP225,"")</f>
        <v/>
      </c>
      <c r="AX225" s="12" t="str">
        <f aca="false">IF(AR225=1,AQ225,"")</f>
        <v/>
      </c>
      <c r="AY225" s="12" t="str">
        <f aca="false">IF(AR225=2,AQ225,"")</f>
        <v/>
      </c>
    </row>
    <row r="226" customFormat="false" ht="15" hidden="false" customHeight="true" outlineLevel="0" collapsed="false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1" t="str">
        <f aca="false">IF(V226="","",6-V226)</f>
        <v/>
      </c>
      <c r="AI226" s="11" t="str">
        <f aca="false">IF(W226="","",6-W226)</f>
        <v/>
      </c>
      <c r="AJ226" s="11" t="str">
        <f aca="false">IF(X226="","",6-X226)</f>
        <v/>
      </c>
      <c r="AK226" s="11" t="str">
        <f aca="false">IF(Y226="","",6-Y226)</f>
        <v/>
      </c>
      <c r="AL226" s="11" t="str">
        <f aca="false">IF(COUNT(H226:O226)=8,SUM(H226:O226),"")</f>
        <v/>
      </c>
      <c r="AM226" s="11" t="str">
        <f aca="false">IF(COUNT(P226:U226,AH226:AK226)=10,SUM(P226:U226,AH226:AK226),"")</f>
        <v/>
      </c>
      <c r="AN226" s="11" t="str">
        <f aca="false">IF(COUNT(Z226:AG226)=8,SUM(Z226:AG226),"")</f>
        <v/>
      </c>
      <c r="AO226" s="12" t="str">
        <f aca="false">IF(AL226="","",AL226/8)</f>
        <v/>
      </c>
      <c r="AP226" s="12" t="str">
        <f aca="false">IF(AM226="","",AM226/10)</f>
        <v/>
      </c>
      <c r="AQ226" s="12" t="str">
        <f aca="false">IF(AN226="","",AN226/8)</f>
        <v/>
      </c>
      <c r="AR226" s="11" t="str">
        <f aca="false">IF(A226="","",IF(OR(F226=1,G226=1,AND(E226&lt;&gt;"",E226&lt;=2)),2,IF(AND(E226&gt;=3,G226=2,OR(F226=2,F226=3)),1,"")))</f>
        <v/>
      </c>
      <c r="AS226" s="11" t="str">
        <f aca="false">IF(AR226=1,"טיפוסי",IF(AR226=2,"מתקשה",""))</f>
        <v/>
      </c>
      <c r="AT226" s="12" t="str">
        <f aca="false">IF(AR226=1,AO226,"")</f>
        <v/>
      </c>
      <c r="AU226" s="12" t="str">
        <f aca="false">IF(AR226=2,AO226,"")</f>
        <v/>
      </c>
      <c r="AV226" s="12" t="str">
        <f aca="false">IF(AR226=1,AP226,"")</f>
        <v/>
      </c>
      <c r="AW226" s="12" t="str">
        <f aca="false">IF(AR226=2,AP226,"")</f>
        <v/>
      </c>
      <c r="AX226" s="12" t="str">
        <f aca="false">IF(AR226=1,AQ226,"")</f>
        <v/>
      </c>
      <c r="AY226" s="12" t="str">
        <f aca="false">IF(AR226=2,AQ226,"")</f>
        <v/>
      </c>
    </row>
    <row r="227" customFormat="false" ht="15" hidden="false" customHeight="true" outlineLevel="0" collapsed="false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1" t="str">
        <f aca="false">IF(V227="","",6-V227)</f>
        <v/>
      </c>
      <c r="AI227" s="11" t="str">
        <f aca="false">IF(W227="","",6-W227)</f>
        <v/>
      </c>
      <c r="AJ227" s="11" t="str">
        <f aca="false">IF(X227="","",6-X227)</f>
        <v/>
      </c>
      <c r="AK227" s="11" t="str">
        <f aca="false">IF(Y227="","",6-Y227)</f>
        <v/>
      </c>
      <c r="AL227" s="11" t="str">
        <f aca="false">IF(COUNT(H227:O227)=8,SUM(H227:O227),"")</f>
        <v/>
      </c>
      <c r="AM227" s="11" t="str">
        <f aca="false">IF(COUNT(P227:U227,AH227:AK227)=10,SUM(P227:U227,AH227:AK227),"")</f>
        <v/>
      </c>
      <c r="AN227" s="11" t="str">
        <f aca="false">IF(COUNT(Z227:AG227)=8,SUM(Z227:AG227),"")</f>
        <v/>
      </c>
      <c r="AO227" s="12" t="str">
        <f aca="false">IF(AL227="","",AL227/8)</f>
        <v/>
      </c>
      <c r="AP227" s="12" t="str">
        <f aca="false">IF(AM227="","",AM227/10)</f>
        <v/>
      </c>
      <c r="AQ227" s="12" t="str">
        <f aca="false">IF(AN227="","",AN227/8)</f>
        <v/>
      </c>
      <c r="AR227" s="11" t="str">
        <f aca="false">IF(A227="","",IF(OR(F227=1,G227=1,AND(E227&lt;&gt;"",E227&lt;=2)),2,IF(AND(E227&gt;=3,G227=2,OR(F227=2,F227=3)),1,"")))</f>
        <v/>
      </c>
      <c r="AS227" s="11" t="str">
        <f aca="false">IF(AR227=1,"טיפוסי",IF(AR227=2,"מתקשה",""))</f>
        <v/>
      </c>
      <c r="AT227" s="12" t="str">
        <f aca="false">IF(AR227=1,AO227,"")</f>
        <v/>
      </c>
      <c r="AU227" s="12" t="str">
        <f aca="false">IF(AR227=2,AO227,"")</f>
        <v/>
      </c>
      <c r="AV227" s="12" t="str">
        <f aca="false">IF(AR227=1,AP227,"")</f>
        <v/>
      </c>
      <c r="AW227" s="12" t="str">
        <f aca="false">IF(AR227=2,AP227,"")</f>
        <v/>
      </c>
      <c r="AX227" s="12" t="str">
        <f aca="false">IF(AR227=1,AQ227,"")</f>
        <v/>
      </c>
      <c r="AY227" s="12" t="str">
        <f aca="false">IF(AR227=2,AQ227,"")</f>
        <v/>
      </c>
    </row>
    <row r="228" customFormat="false" ht="15" hidden="false" customHeight="true" outlineLevel="0" collapsed="false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1" t="str">
        <f aca="false">IF(V228="","",6-V228)</f>
        <v/>
      </c>
      <c r="AI228" s="11" t="str">
        <f aca="false">IF(W228="","",6-W228)</f>
        <v/>
      </c>
      <c r="AJ228" s="11" t="str">
        <f aca="false">IF(X228="","",6-X228)</f>
        <v/>
      </c>
      <c r="AK228" s="11" t="str">
        <f aca="false">IF(Y228="","",6-Y228)</f>
        <v/>
      </c>
      <c r="AL228" s="11" t="str">
        <f aca="false">IF(COUNT(H228:O228)=8,SUM(H228:O228),"")</f>
        <v/>
      </c>
      <c r="AM228" s="11" t="str">
        <f aca="false">IF(COUNT(P228:U228,AH228:AK228)=10,SUM(P228:U228,AH228:AK228),"")</f>
        <v/>
      </c>
      <c r="AN228" s="11" t="str">
        <f aca="false">IF(COUNT(Z228:AG228)=8,SUM(Z228:AG228),"")</f>
        <v/>
      </c>
      <c r="AO228" s="12" t="str">
        <f aca="false">IF(AL228="","",AL228/8)</f>
        <v/>
      </c>
      <c r="AP228" s="12" t="str">
        <f aca="false">IF(AM228="","",AM228/10)</f>
        <v/>
      </c>
      <c r="AQ228" s="12" t="str">
        <f aca="false">IF(AN228="","",AN228/8)</f>
        <v/>
      </c>
      <c r="AR228" s="11" t="str">
        <f aca="false">IF(A228="","",IF(OR(F228=1,G228=1,AND(E228&lt;&gt;"",E228&lt;=2)),2,IF(AND(E228&gt;=3,G228=2,OR(F228=2,F228=3)),1,"")))</f>
        <v/>
      </c>
      <c r="AS228" s="11" t="str">
        <f aca="false">IF(AR228=1,"טיפוסי",IF(AR228=2,"מתקשה",""))</f>
        <v/>
      </c>
      <c r="AT228" s="12" t="str">
        <f aca="false">IF(AR228=1,AO228,"")</f>
        <v/>
      </c>
      <c r="AU228" s="12" t="str">
        <f aca="false">IF(AR228=2,AO228,"")</f>
        <v/>
      </c>
      <c r="AV228" s="12" t="str">
        <f aca="false">IF(AR228=1,AP228,"")</f>
        <v/>
      </c>
      <c r="AW228" s="12" t="str">
        <f aca="false">IF(AR228=2,AP228,"")</f>
        <v/>
      </c>
      <c r="AX228" s="12" t="str">
        <f aca="false">IF(AR228=1,AQ228,"")</f>
        <v/>
      </c>
      <c r="AY228" s="12" t="str">
        <f aca="false">IF(AR228=2,AQ228,"")</f>
        <v/>
      </c>
    </row>
    <row r="229" customFormat="false" ht="15" hidden="false" customHeight="true" outlineLevel="0" collapsed="false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1" t="str">
        <f aca="false">IF(V229="","",6-V229)</f>
        <v/>
      </c>
      <c r="AI229" s="11" t="str">
        <f aca="false">IF(W229="","",6-W229)</f>
        <v/>
      </c>
      <c r="AJ229" s="11" t="str">
        <f aca="false">IF(X229="","",6-X229)</f>
        <v/>
      </c>
      <c r="AK229" s="11" t="str">
        <f aca="false">IF(Y229="","",6-Y229)</f>
        <v/>
      </c>
      <c r="AL229" s="11" t="str">
        <f aca="false">IF(COUNT(H229:O229)=8,SUM(H229:O229),"")</f>
        <v/>
      </c>
      <c r="AM229" s="11" t="str">
        <f aca="false">IF(COUNT(P229:U229,AH229:AK229)=10,SUM(P229:U229,AH229:AK229),"")</f>
        <v/>
      </c>
      <c r="AN229" s="11" t="str">
        <f aca="false">IF(COUNT(Z229:AG229)=8,SUM(Z229:AG229),"")</f>
        <v/>
      </c>
      <c r="AO229" s="12" t="str">
        <f aca="false">IF(AL229="","",AL229/8)</f>
        <v/>
      </c>
      <c r="AP229" s="12" t="str">
        <f aca="false">IF(AM229="","",AM229/10)</f>
        <v/>
      </c>
      <c r="AQ229" s="12" t="str">
        <f aca="false">IF(AN229="","",AN229/8)</f>
        <v/>
      </c>
      <c r="AR229" s="11" t="str">
        <f aca="false">IF(A229="","",IF(OR(F229=1,G229=1,AND(E229&lt;&gt;"",E229&lt;=2)),2,IF(AND(E229&gt;=3,G229=2,OR(F229=2,F229=3)),1,"")))</f>
        <v/>
      </c>
      <c r="AS229" s="11" t="str">
        <f aca="false">IF(AR229=1,"טיפוסי",IF(AR229=2,"מתקשה",""))</f>
        <v/>
      </c>
      <c r="AT229" s="12" t="str">
        <f aca="false">IF(AR229=1,AO229,"")</f>
        <v/>
      </c>
      <c r="AU229" s="12" t="str">
        <f aca="false">IF(AR229=2,AO229,"")</f>
        <v/>
      </c>
      <c r="AV229" s="12" t="str">
        <f aca="false">IF(AR229=1,AP229,"")</f>
        <v/>
      </c>
      <c r="AW229" s="12" t="str">
        <f aca="false">IF(AR229=2,AP229,"")</f>
        <v/>
      </c>
      <c r="AX229" s="12" t="str">
        <f aca="false">IF(AR229=1,AQ229,"")</f>
        <v/>
      </c>
      <c r="AY229" s="12" t="str">
        <f aca="false">IF(AR229=2,AQ229,"")</f>
        <v/>
      </c>
    </row>
    <row r="230" customFormat="false" ht="15" hidden="false" customHeight="true" outlineLevel="0" collapsed="false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1" t="str">
        <f aca="false">IF(V230="","",6-V230)</f>
        <v/>
      </c>
      <c r="AI230" s="11" t="str">
        <f aca="false">IF(W230="","",6-W230)</f>
        <v/>
      </c>
      <c r="AJ230" s="11" t="str">
        <f aca="false">IF(X230="","",6-X230)</f>
        <v/>
      </c>
      <c r="AK230" s="11" t="str">
        <f aca="false">IF(Y230="","",6-Y230)</f>
        <v/>
      </c>
      <c r="AL230" s="11" t="str">
        <f aca="false">IF(COUNT(H230:O230)=8,SUM(H230:O230),"")</f>
        <v/>
      </c>
      <c r="AM230" s="11" t="str">
        <f aca="false">IF(COUNT(P230:U230,AH230:AK230)=10,SUM(P230:U230,AH230:AK230),"")</f>
        <v/>
      </c>
      <c r="AN230" s="11" t="str">
        <f aca="false">IF(COUNT(Z230:AG230)=8,SUM(Z230:AG230),"")</f>
        <v/>
      </c>
      <c r="AO230" s="12" t="str">
        <f aca="false">IF(AL230="","",AL230/8)</f>
        <v/>
      </c>
      <c r="AP230" s="12" t="str">
        <f aca="false">IF(AM230="","",AM230/10)</f>
        <v/>
      </c>
      <c r="AQ230" s="12" t="str">
        <f aca="false">IF(AN230="","",AN230/8)</f>
        <v/>
      </c>
      <c r="AR230" s="11" t="str">
        <f aca="false">IF(A230="","",IF(OR(F230=1,G230=1,AND(E230&lt;&gt;"",E230&lt;=2)),2,IF(AND(E230&gt;=3,G230=2,OR(F230=2,F230=3)),1,"")))</f>
        <v/>
      </c>
      <c r="AS230" s="11" t="str">
        <f aca="false">IF(AR230=1,"טיפוסי",IF(AR230=2,"מתקשה",""))</f>
        <v/>
      </c>
      <c r="AT230" s="12" t="str">
        <f aca="false">IF(AR230=1,AO230,"")</f>
        <v/>
      </c>
      <c r="AU230" s="12" t="str">
        <f aca="false">IF(AR230=2,AO230,"")</f>
        <v/>
      </c>
      <c r="AV230" s="12" t="str">
        <f aca="false">IF(AR230=1,AP230,"")</f>
        <v/>
      </c>
      <c r="AW230" s="12" t="str">
        <f aca="false">IF(AR230=2,AP230,"")</f>
        <v/>
      </c>
      <c r="AX230" s="12" t="str">
        <f aca="false">IF(AR230=1,AQ230,"")</f>
        <v/>
      </c>
      <c r="AY230" s="12" t="str">
        <f aca="false">IF(AR230=2,AQ230,"")</f>
        <v/>
      </c>
    </row>
    <row r="231" customFormat="false" ht="15" hidden="false" customHeight="true" outlineLevel="0" collapsed="false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1" t="str">
        <f aca="false">IF(V231="","",6-V231)</f>
        <v/>
      </c>
      <c r="AI231" s="11" t="str">
        <f aca="false">IF(W231="","",6-W231)</f>
        <v/>
      </c>
      <c r="AJ231" s="11" t="str">
        <f aca="false">IF(X231="","",6-X231)</f>
        <v/>
      </c>
      <c r="AK231" s="11" t="str">
        <f aca="false">IF(Y231="","",6-Y231)</f>
        <v/>
      </c>
      <c r="AL231" s="11" t="str">
        <f aca="false">IF(COUNT(H231:O231)=8,SUM(H231:O231),"")</f>
        <v/>
      </c>
      <c r="AM231" s="11" t="str">
        <f aca="false">IF(COUNT(P231:U231,AH231:AK231)=10,SUM(P231:U231,AH231:AK231),"")</f>
        <v/>
      </c>
      <c r="AN231" s="11" t="str">
        <f aca="false">IF(COUNT(Z231:AG231)=8,SUM(Z231:AG231),"")</f>
        <v/>
      </c>
      <c r="AO231" s="12" t="str">
        <f aca="false">IF(AL231="","",AL231/8)</f>
        <v/>
      </c>
      <c r="AP231" s="12" t="str">
        <f aca="false">IF(AM231="","",AM231/10)</f>
        <v/>
      </c>
      <c r="AQ231" s="12" t="str">
        <f aca="false">IF(AN231="","",AN231/8)</f>
        <v/>
      </c>
      <c r="AR231" s="11" t="str">
        <f aca="false">IF(A231="","",IF(OR(F231=1,G231=1,AND(E231&lt;&gt;"",E231&lt;=2)),2,IF(AND(E231&gt;=3,G231=2,OR(F231=2,F231=3)),1,"")))</f>
        <v/>
      </c>
      <c r="AS231" s="11" t="str">
        <f aca="false">IF(AR231=1,"טיפוסי",IF(AR231=2,"מתקשה",""))</f>
        <v/>
      </c>
      <c r="AT231" s="12" t="str">
        <f aca="false">IF(AR231=1,AO231,"")</f>
        <v/>
      </c>
      <c r="AU231" s="12" t="str">
        <f aca="false">IF(AR231=2,AO231,"")</f>
        <v/>
      </c>
      <c r="AV231" s="12" t="str">
        <f aca="false">IF(AR231=1,AP231,"")</f>
        <v/>
      </c>
      <c r="AW231" s="12" t="str">
        <f aca="false">IF(AR231=2,AP231,"")</f>
        <v/>
      </c>
      <c r="AX231" s="12" t="str">
        <f aca="false">IF(AR231=1,AQ231,"")</f>
        <v/>
      </c>
      <c r="AY231" s="12" t="str">
        <f aca="false">IF(AR231=2,AQ231,"")</f>
        <v/>
      </c>
    </row>
    <row r="232" customFormat="false" ht="15" hidden="false" customHeight="true" outlineLevel="0" collapsed="false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1" t="str">
        <f aca="false">IF(V232="","",6-V232)</f>
        <v/>
      </c>
      <c r="AI232" s="11" t="str">
        <f aca="false">IF(W232="","",6-W232)</f>
        <v/>
      </c>
      <c r="AJ232" s="11" t="str">
        <f aca="false">IF(X232="","",6-X232)</f>
        <v/>
      </c>
      <c r="AK232" s="11" t="str">
        <f aca="false">IF(Y232="","",6-Y232)</f>
        <v/>
      </c>
      <c r="AL232" s="11" t="str">
        <f aca="false">IF(COUNT(H232:O232)=8,SUM(H232:O232),"")</f>
        <v/>
      </c>
      <c r="AM232" s="11" t="str">
        <f aca="false">IF(COUNT(P232:U232,AH232:AK232)=10,SUM(P232:U232,AH232:AK232),"")</f>
        <v/>
      </c>
      <c r="AN232" s="11" t="str">
        <f aca="false">IF(COUNT(Z232:AG232)=8,SUM(Z232:AG232),"")</f>
        <v/>
      </c>
      <c r="AO232" s="12" t="str">
        <f aca="false">IF(AL232="","",AL232/8)</f>
        <v/>
      </c>
      <c r="AP232" s="12" t="str">
        <f aca="false">IF(AM232="","",AM232/10)</f>
        <v/>
      </c>
      <c r="AQ232" s="12" t="str">
        <f aca="false">IF(AN232="","",AN232/8)</f>
        <v/>
      </c>
      <c r="AR232" s="11" t="str">
        <f aca="false">IF(A232="","",IF(OR(F232=1,G232=1,AND(E232&lt;&gt;"",E232&lt;=2)),2,IF(AND(E232&gt;=3,G232=2,OR(F232=2,F232=3)),1,"")))</f>
        <v/>
      </c>
      <c r="AS232" s="11" t="str">
        <f aca="false">IF(AR232=1,"טיפוסי",IF(AR232=2,"מתקשה",""))</f>
        <v/>
      </c>
      <c r="AT232" s="12" t="str">
        <f aca="false">IF(AR232=1,AO232,"")</f>
        <v/>
      </c>
      <c r="AU232" s="12" t="str">
        <f aca="false">IF(AR232=2,AO232,"")</f>
        <v/>
      </c>
      <c r="AV232" s="12" t="str">
        <f aca="false">IF(AR232=1,AP232,"")</f>
        <v/>
      </c>
      <c r="AW232" s="12" t="str">
        <f aca="false">IF(AR232=2,AP232,"")</f>
        <v/>
      </c>
      <c r="AX232" s="12" t="str">
        <f aca="false">IF(AR232=1,AQ232,"")</f>
        <v/>
      </c>
      <c r="AY232" s="12" t="str">
        <f aca="false">IF(AR232=2,AQ232,"")</f>
        <v/>
      </c>
    </row>
    <row r="233" customFormat="false" ht="15" hidden="false" customHeight="true" outlineLevel="0" collapsed="false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1" t="str">
        <f aca="false">IF(V233="","",6-V233)</f>
        <v/>
      </c>
      <c r="AI233" s="11" t="str">
        <f aca="false">IF(W233="","",6-W233)</f>
        <v/>
      </c>
      <c r="AJ233" s="11" t="str">
        <f aca="false">IF(X233="","",6-X233)</f>
        <v/>
      </c>
      <c r="AK233" s="11" t="str">
        <f aca="false">IF(Y233="","",6-Y233)</f>
        <v/>
      </c>
      <c r="AL233" s="11" t="str">
        <f aca="false">IF(COUNT(H233:O233)=8,SUM(H233:O233),"")</f>
        <v/>
      </c>
      <c r="AM233" s="11" t="str">
        <f aca="false">IF(COUNT(P233:U233,AH233:AK233)=10,SUM(P233:U233,AH233:AK233),"")</f>
        <v/>
      </c>
      <c r="AN233" s="11" t="str">
        <f aca="false">IF(COUNT(Z233:AG233)=8,SUM(Z233:AG233),"")</f>
        <v/>
      </c>
      <c r="AO233" s="12" t="str">
        <f aca="false">IF(AL233="","",AL233/8)</f>
        <v/>
      </c>
      <c r="AP233" s="12" t="str">
        <f aca="false">IF(AM233="","",AM233/10)</f>
        <v/>
      </c>
      <c r="AQ233" s="12" t="str">
        <f aca="false">IF(AN233="","",AN233/8)</f>
        <v/>
      </c>
      <c r="AR233" s="11" t="str">
        <f aca="false">IF(A233="","",IF(OR(F233=1,G233=1,AND(E233&lt;&gt;"",E233&lt;=2)),2,IF(AND(E233&gt;=3,G233=2,OR(F233=2,F233=3)),1,"")))</f>
        <v/>
      </c>
      <c r="AS233" s="11" t="str">
        <f aca="false">IF(AR233=1,"טיפוסי",IF(AR233=2,"מתקשה",""))</f>
        <v/>
      </c>
      <c r="AT233" s="12" t="str">
        <f aca="false">IF(AR233=1,AO233,"")</f>
        <v/>
      </c>
      <c r="AU233" s="12" t="str">
        <f aca="false">IF(AR233=2,AO233,"")</f>
        <v/>
      </c>
      <c r="AV233" s="12" t="str">
        <f aca="false">IF(AR233=1,AP233,"")</f>
        <v/>
      </c>
      <c r="AW233" s="12" t="str">
        <f aca="false">IF(AR233=2,AP233,"")</f>
        <v/>
      </c>
      <c r="AX233" s="12" t="str">
        <f aca="false">IF(AR233=1,AQ233,"")</f>
        <v/>
      </c>
      <c r="AY233" s="12" t="str">
        <f aca="false">IF(AR233=2,AQ233,"")</f>
        <v/>
      </c>
    </row>
    <row r="234" customFormat="false" ht="15" hidden="false" customHeight="true" outlineLevel="0" collapsed="false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1" t="str">
        <f aca="false">IF(V234="","",6-V234)</f>
        <v/>
      </c>
      <c r="AI234" s="11" t="str">
        <f aca="false">IF(W234="","",6-W234)</f>
        <v/>
      </c>
      <c r="AJ234" s="11" t="str">
        <f aca="false">IF(X234="","",6-X234)</f>
        <v/>
      </c>
      <c r="AK234" s="11" t="str">
        <f aca="false">IF(Y234="","",6-Y234)</f>
        <v/>
      </c>
      <c r="AL234" s="11" t="str">
        <f aca="false">IF(COUNT(H234:O234)=8,SUM(H234:O234),"")</f>
        <v/>
      </c>
      <c r="AM234" s="11" t="str">
        <f aca="false">IF(COUNT(P234:U234,AH234:AK234)=10,SUM(P234:U234,AH234:AK234),"")</f>
        <v/>
      </c>
      <c r="AN234" s="11" t="str">
        <f aca="false">IF(COUNT(Z234:AG234)=8,SUM(Z234:AG234),"")</f>
        <v/>
      </c>
      <c r="AO234" s="12" t="str">
        <f aca="false">IF(AL234="","",AL234/8)</f>
        <v/>
      </c>
      <c r="AP234" s="12" t="str">
        <f aca="false">IF(AM234="","",AM234/10)</f>
        <v/>
      </c>
      <c r="AQ234" s="12" t="str">
        <f aca="false">IF(AN234="","",AN234/8)</f>
        <v/>
      </c>
      <c r="AR234" s="11" t="str">
        <f aca="false">IF(A234="","",IF(OR(F234=1,G234=1,AND(E234&lt;&gt;"",E234&lt;=2)),2,IF(AND(E234&gt;=3,G234=2,OR(F234=2,F234=3)),1,"")))</f>
        <v/>
      </c>
      <c r="AS234" s="11" t="str">
        <f aca="false">IF(AR234=1,"טיפוסי",IF(AR234=2,"מתקשה",""))</f>
        <v/>
      </c>
      <c r="AT234" s="12" t="str">
        <f aca="false">IF(AR234=1,AO234,"")</f>
        <v/>
      </c>
      <c r="AU234" s="12" t="str">
        <f aca="false">IF(AR234=2,AO234,"")</f>
        <v/>
      </c>
      <c r="AV234" s="12" t="str">
        <f aca="false">IF(AR234=1,AP234,"")</f>
        <v/>
      </c>
      <c r="AW234" s="12" t="str">
        <f aca="false">IF(AR234=2,AP234,"")</f>
        <v/>
      </c>
      <c r="AX234" s="12" t="str">
        <f aca="false">IF(AR234=1,AQ234,"")</f>
        <v/>
      </c>
      <c r="AY234" s="12" t="str">
        <f aca="false">IF(AR234=2,AQ234,"")</f>
        <v/>
      </c>
    </row>
    <row r="235" customFormat="false" ht="15" hidden="false" customHeight="true" outlineLevel="0" collapsed="false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1" t="str">
        <f aca="false">IF(V235="","",6-V235)</f>
        <v/>
      </c>
      <c r="AI235" s="11" t="str">
        <f aca="false">IF(W235="","",6-W235)</f>
        <v/>
      </c>
      <c r="AJ235" s="11" t="str">
        <f aca="false">IF(X235="","",6-X235)</f>
        <v/>
      </c>
      <c r="AK235" s="11" t="str">
        <f aca="false">IF(Y235="","",6-Y235)</f>
        <v/>
      </c>
      <c r="AL235" s="11" t="str">
        <f aca="false">IF(COUNT(H235:O235)=8,SUM(H235:O235),"")</f>
        <v/>
      </c>
      <c r="AM235" s="11" t="str">
        <f aca="false">IF(COUNT(P235:U235,AH235:AK235)=10,SUM(P235:U235,AH235:AK235),"")</f>
        <v/>
      </c>
      <c r="AN235" s="11" t="str">
        <f aca="false">IF(COUNT(Z235:AG235)=8,SUM(Z235:AG235),"")</f>
        <v/>
      </c>
      <c r="AO235" s="12" t="str">
        <f aca="false">IF(AL235="","",AL235/8)</f>
        <v/>
      </c>
      <c r="AP235" s="12" t="str">
        <f aca="false">IF(AM235="","",AM235/10)</f>
        <v/>
      </c>
      <c r="AQ235" s="12" t="str">
        <f aca="false">IF(AN235="","",AN235/8)</f>
        <v/>
      </c>
      <c r="AR235" s="11" t="str">
        <f aca="false">IF(A235="","",IF(OR(F235=1,G235=1,AND(E235&lt;&gt;"",E235&lt;=2)),2,IF(AND(E235&gt;=3,G235=2,OR(F235=2,F235=3)),1,"")))</f>
        <v/>
      </c>
      <c r="AS235" s="11" t="str">
        <f aca="false">IF(AR235=1,"טיפוסי",IF(AR235=2,"מתקשה",""))</f>
        <v/>
      </c>
      <c r="AT235" s="12" t="str">
        <f aca="false">IF(AR235=1,AO235,"")</f>
        <v/>
      </c>
      <c r="AU235" s="12" t="str">
        <f aca="false">IF(AR235=2,AO235,"")</f>
        <v/>
      </c>
      <c r="AV235" s="12" t="str">
        <f aca="false">IF(AR235=1,AP235,"")</f>
        <v/>
      </c>
      <c r="AW235" s="12" t="str">
        <f aca="false">IF(AR235=2,AP235,"")</f>
        <v/>
      </c>
      <c r="AX235" s="12" t="str">
        <f aca="false">IF(AR235=1,AQ235,"")</f>
        <v/>
      </c>
      <c r="AY235" s="12" t="str">
        <f aca="false">IF(AR235=2,AQ235,"")</f>
        <v/>
      </c>
    </row>
    <row r="236" customFormat="false" ht="15" hidden="false" customHeight="true" outlineLevel="0" collapsed="false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1" t="str">
        <f aca="false">IF(V236="","",6-V236)</f>
        <v/>
      </c>
      <c r="AI236" s="11" t="str">
        <f aca="false">IF(W236="","",6-W236)</f>
        <v/>
      </c>
      <c r="AJ236" s="11" t="str">
        <f aca="false">IF(X236="","",6-X236)</f>
        <v/>
      </c>
      <c r="AK236" s="11" t="str">
        <f aca="false">IF(Y236="","",6-Y236)</f>
        <v/>
      </c>
      <c r="AL236" s="11" t="str">
        <f aca="false">IF(COUNT(H236:O236)=8,SUM(H236:O236),"")</f>
        <v/>
      </c>
      <c r="AM236" s="11" t="str">
        <f aca="false">IF(COUNT(P236:U236,AH236:AK236)=10,SUM(P236:U236,AH236:AK236),"")</f>
        <v/>
      </c>
      <c r="AN236" s="11" t="str">
        <f aca="false">IF(COUNT(Z236:AG236)=8,SUM(Z236:AG236),"")</f>
        <v/>
      </c>
      <c r="AO236" s="12" t="str">
        <f aca="false">IF(AL236="","",AL236/8)</f>
        <v/>
      </c>
      <c r="AP236" s="12" t="str">
        <f aca="false">IF(AM236="","",AM236/10)</f>
        <v/>
      </c>
      <c r="AQ236" s="12" t="str">
        <f aca="false">IF(AN236="","",AN236/8)</f>
        <v/>
      </c>
      <c r="AR236" s="11" t="str">
        <f aca="false">IF(A236="","",IF(OR(F236=1,G236=1,AND(E236&lt;&gt;"",E236&lt;=2)),2,IF(AND(E236&gt;=3,G236=2,OR(F236=2,F236=3)),1,"")))</f>
        <v/>
      </c>
      <c r="AS236" s="11" t="str">
        <f aca="false">IF(AR236=1,"טיפוסי",IF(AR236=2,"מתקשה",""))</f>
        <v/>
      </c>
      <c r="AT236" s="12" t="str">
        <f aca="false">IF(AR236=1,AO236,"")</f>
        <v/>
      </c>
      <c r="AU236" s="12" t="str">
        <f aca="false">IF(AR236=2,AO236,"")</f>
        <v/>
      </c>
      <c r="AV236" s="12" t="str">
        <f aca="false">IF(AR236=1,AP236,"")</f>
        <v/>
      </c>
      <c r="AW236" s="12" t="str">
        <f aca="false">IF(AR236=2,AP236,"")</f>
        <v/>
      </c>
      <c r="AX236" s="12" t="str">
        <f aca="false">IF(AR236=1,AQ236,"")</f>
        <v/>
      </c>
      <c r="AY236" s="12" t="str">
        <f aca="false">IF(AR236=2,AQ236,"")</f>
        <v/>
      </c>
    </row>
    <row r="237" customFormat="false" ht="15" hidden="false" customHeight="true" outlineLevel="0" collapsed="false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1" t="str">
        <f aca="false">IF(V237="","",6-V237)</f>
        <v/>
      </c>
      <c r="AI237" s="11" t="str">
        <f aca="false">IF(W237="","",6-W237)</f>
        <v/>
      </c>
      <c r="AJ237" s="11" t="str">
        <f aca="false">IF(X237="","",6-X237)</f>
        <v/>
      </c>
      <c r="AK237" s="11" t="str">
        <f aca="false">IF(Y237="","",6-Y237)</f>
        <v/>
      </c>
      <c r="AL237" s="11" t="str">
        <f aca="false">IF(COUNT(H237:O237)=8,SUM(H237:O237),"")</f>
        <v/>
      </c>
      <c r="AM237" s="11" t="str">
        <f aca="false">IF(COUNT(P237:U237,AH237:AK237)=10,SUM(P237:U237,AH237:AK237),"")</f>
        <v/>
      </c>
      <c r="AN237" s="11" t="str">
        <f aca="false">IF(COUNT(Z237:AG237)=8,SUM(Z237:AG237),"")</f>
        <v/>
      </c>
      <c r="AO237" s="12" t="str">
        <f aca="false">IF(AL237="","",AL237/8)</f>
        <v/>
      </c>
      <c r="AP237" s="12" t="str">
        <f aca="false">IF(AM237="","",AM237/10)</f>
        <v/>
      </c>
      <c r="AQ237" s="12" t="str">
        <f aca="false">IF(AN237="","",AN237/8)</f>
        <v/>
      </c>
      <c r="AR237" s="11" t="str">
        <f aca="false">IF(A237="","",IF(OR(F237=1,G237=1,AND(E237&lt;&gt;"",E237&lt;=2)),2,IF(AND(E237&gt;=3,G237=2,OR(F237=2,F237=3)),1,"")))</f>
        <v/>
      </c>
      <c r="AS237" s="11" t="str">
        <f aca="false">IF(AR237=1,"טיפוסי",IF(AR237=2,"מתקשה",""))</f>
        <v/>
      </c>
      <c r="AT237" s="12" t="str">
        <f aca="false">IF(AR237=1,AO237,"")</f>
        <v/>
      </c>
      <c r="AU237" s="12" t="str">
        <f aca="false">IF(AR237=2,AO237,"")</f>
        <v/>
      </c>
      <c r="AV237" s="12" t="str">
        <f aca="false">IF(AR237=1,AP237,"")</f>
        <v/>
      </c>
      <c r="AW237" s="12" t="str">
        <f aca="false">IF(AR237=2,AP237,"")</f>
        <v/>
      </c>
      <c r="AX237" s="12" t="str">
        <f aca="false">IF(AR237=1,AQ237,"")</f>
        <v/>
      </c>
      <c r="AY237" s="12" t="str">
        <f aca="false">IF(AR237=2,AQ237,"")</f>
        <v/>
      </c>
    </row>
    <row r="238" customFormat="false" ht="15" hidden="false" customHeight="true" outlineLevel="0" collapsed="false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1" t="str">
        <f aca="false">IF(V238="","",6-V238)</f>
        <v/>
      </c>
      <c r="AI238" s="11" t="str">
        <f aca="false">IF(W238="","",6-W238)</f>
        <v/>
      </c>
      <c r="AJ238" s="11" t="str">
        <f aca="false">IF(X238="","",6-X238)</f>
        <v/>
      </c>
      <c r="AK238" s="11" t="str">
        <f aca="false">IF(Y238="","",6-Y238)</f>
        <v/>
      </c>
      <c r="AL238" s="11" t="str">
        <f aca="false">IF(COUNT(H238:O238)=8,SUM(H238:O238),"")</f>
        <v/>
      </c>
      <c r="AM238" s="11" t="str">
        <f aca="false">IF(COUNT(P238:U238,AH238:AK238)=10,SUM(P238:U238,AH238:AK238),"")</f>
        <v/>
      </c>
      <c r="AN238" s="11" t="str">
        <f aca="false">IF(COUNT(Z238:AG238)=8,SUM(Z238:AG238),"")</f>
        <v/>
      </c>
      <c r="AO238" s="12" t="str">
        <f aca="false">IF(AL238="","",AL238/8)</f>
        <v/>
      </c>
      <c r="AP238" s="12" t="str">
        <f aca="false">IF(AM238="","",AM238/10)</f>
        <v/>
      </c>
      <c r="AQ238" s="12" t="str">
        <f aca="false">IF(AN238="","",AN238/8)</f>
        <v/>
      </c>
      <c r="AR238" s="11" t="str">
        <f aca="false">IF(A238="","",IF(OR(F238=1,G238=1,AND(E238&lt;&gt;"",E238&lt;=2)),2,IF(AND(E238&gt;=3,G238=2,OR(F238=2,F238=3)),1,"")))</f>
        <v/>
      </c>
      <c r="AS238" s="11" t="str">
        <f aca="false">IF(AR238=1,"טיפוסי",IF(AR238=2,"מתקשה",""))</f>
        <v/>
      </c>
      <c r="AT238" s="12" t="str">
        <f aca="false">IF(AR238=1,AO238,"")</f>
        <v/>
      </c>
      <c r="AU238" s="12" t="str">
        <f aca="false">IF(AR238=2,AO238,"")</f>
        <v/>
      </c>
      <c r="AV238" s="12" t="str">
        <f aca="false">IF(AR238=1,AP238,"")</f>
        <v/>
      </c>
      <c r="AW238" s="12" t="str">
        <f aca="false">IF(AR238=2,AP238,"")</f>
        <v/>
      </c>
      <c r="AX238" s="12" t="str">
        <f aca="false">IF(AR238=1,AQ238,"")</f>
        <v/>
      </c>
      <c r="AY238" s="12" t="str">
        <f aca="false">IF(AR238=2,AQ238,"")</f>
        <v/>
      </c>
    </row>
    <row r="239" customFormat="false" ht="15" hidden="false" customHeight="true" outlineLevel="0" collapsed="false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1" t="str">
        <f aca="false">IF(V239="","",6-V239)</f>
        <v/>
      </c>
      <c r="AI239" s="11" t="str">
        <f aca="false">IF(W239="","",6-W239)</f>
        <v/>
      </c>
      <c r="AJ239" s="11" t="str">
        <f aca="false">IF(X239="","",6-X239)</f>
        <v/>
      </c>
      <c r="AK239" s="11" t="str">
        <f aca="false">IF(Y239="","",6-Y239)</f>
        <v/>
      </c>
      <c r="AL239" s="11" t="str">
        <f aca="false">IF(COUNT(H239:O239)=8,SUM(H239:O239),"")</f>
        <v/>
      </c>
      <c r="AM239" s="11" t="str">
        <f aca="false">IF(COUNT(P239:U239,AH239:AK239)=10,SUM(P239:U239,AH239:AK239),"")</f>
        <v/>
      </c>
      <c r="AN239" s="11" t="str">
        <f aca="false">IF(COUNT(Z239:AG239)=8,SUM(Z239:AG239),"")</f>
        <v/>
      </c>
      <c r="AO239" s="12" t="str">
        <f aca="false">IF(AL239="","",AL239/8)</f>
        <v/>
      </c>
      <c r="AP239" s="12" t="str">
        <f aca="false">IF(AM239="","",AM239/10)</f>
        <v/>
      </c>
      <c r="AQ239" s="12" t="str">
        <f aca="false">IF(AN239="","",AN239/8)</f>
        <v/>
      </c>
      <c r="AR239" s="11" t="str">
        <f aca="false">IF(A239="","",IF(OR(F239=1,G239=1,AND(E239&lt;&gt;"",E239&lt;=2)),2,IF(AND(E239&gt;=3,G239=2,OR(F239=2,F239=3)),1,"")))</f>
        <v/>
      </c>
      <c r="AS239" s="11" t="str">
        <f aca="false">IF(AR239=1,"טיפוסי",IF(AR239=2,"מתקשה",""))</f>
        <v/>
      </c>
      <c r="AT239" s="12" t="str">
        <f aca="false">IF(AR239=1,AO239,"")</f>
        <v/>
      </c>
      <c r="AU239" s="12" t="str">
        <f aca="false">IF(AR239=2,AO239,"")</f>
        <v/>
      </c>
      <c r="AV239" s="12" t="str">
        <f aca="false">IF(AR239=1,AP239,"")</f>
        <v/>
      </c>
      <c r="AW239" s="12" t="str">
        <f aca="false">IF(AR239=2,AP239,"")</f>
        <v/>
      </c>
      <c r="AX239" s="12" t="str">
        <f aca="false">IF(AR239=1,AQ239,"")</f>
        <v/>
      </c>
      <c r="AY239" s="12" t="str">
        <f aca="false">IF(AR239=2,AQ239,"")</f>
        <v/>
      </c>
    </row>
    <row r="240" customFormat="false" ht="15" hidden="false" customHeight="true" outlineLevel="0" collapsed="false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1" t="str">
        <f aca="false">IF(V240="","",6-V240)</f>
        <v/>
      </c>
      <c r="AI240" s="11" t="str">
        <f aca="false">IF(W240="","",6-W240)</f>
        <v/>
      </c>
      <c r="AJ240" s="11" t="str">
        <f aca="false">IF(X240="","",6-X240)</f>
        <v/>
      </c>
      <c r="AK240" s="11" t="str">
        <f aca="false">IF(Y240="","",6-Y240)</f>
        <v/>
      </c>
      <c r="AL240" s="11" t="str">
        <f aca="false">IF(COUNT(H240:O240)=8,SUM(H240:O240),"")</f>
        <v/>
      </c>
      <c r="AM240" s="11" t="str">
        <f aca="false">IF(COUNT(P240:U240,AH240:AK240)=10,SUM(P240:U240,AH240:AK240),"")</f>
        <v/>
      </c>
      <c r="AN240" s="11" t="str">
        <f aca="false">IF(COUNT(Z240:AG240)=8,SUM(Z240:AG240),"")</f>
        <v/>
      </c>
      <c r="AO240" s="12" t="str">
        <f aca="false">IF(AL240="","",AL240/8)</f>
        <v/>
      </c>
      <c r="AP240" s="12" t="str">
        <f aca="false">IF(AM240="","",AM240/10)</f>
        <v/>
      </c>
      <c r="AQ240" s="12" t="str">
        <f aca="false">IF(AN240="","",AN240/8)</f>
        <v/>
      </c>
      <c r="AR240" s="11" t="str">
        <f aca="false">IF(A240="","",IF(OR(F240=1,G240=1,AND(E240&lt;&gt;"",E240&lt;=2)),2,IF(AND(E240&gt;=3,G240=2,OR(F240=2,F240=3)),1,"")))</f>
        <v/>
      </c>
      <c r="AS240" s="11" t="str">
        <f aca="false">IF(AR240=1,"טיפוסי",IF(AR240=2,"מתקשה",""))</f>
        <v/>
      </c>
      <c r="AT240" s="12" t="str">
        <f aca="false">IF(AR240=1,AO240,"")</f>
        <v/>
      </c>
      <c r="AU240" s="12" t="str">
        <f aca="false">IF(AR240=2,AO240,"")</f>
        <v/>
      </c>
      <c r="AV240" s="12" t="str">
        <f aca="false">IF(AR240=1,AP240,"")</f>
        <v/>
      </c>
      <c r="AW240" s="12" t="str">
        <f aca="false">IF(AR240=2,AP240,"")</f>
        <v/>
      </c>
      <c r="AX240" s="12" t="str">
        <f aca="false">IF(AR240=1,AQ240,"")</f>
        <v/>
      </c>
      <c r="AY240" s="12" t="str">
        <f aca="false">IF(AR240=2,AQ240,"")</f>
        <v/>
      </c>
    </row>
    <row r="241" customFormat="false" ht="15" hidden="false" customHeight="tru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1" t="str">
        <f aca="false">IF(V241="","",6-V241)</f>
        <v/>
      </c>
      <c r="AI241" s="11" t="str">
        <f aca="false">IF(W241="","",6-W241)</f>
        <v/>
      </c>
      <c r="AJ241" s="11" t="str">
        <f aca="false">IF(X241="","",6-X241)</f>
        <v/>
      </c>
      <c r="AK241" s="11" t="str">
        <f aca="false">IF(Y241="","",6-Y241)</f>
        <v/>
      </c>
      <c r="AL241" s="11" t="str">
        <f aca="false">IF(COUNT(H241:O241)=8,SUM(H241:O241),"")</f>
        <v/>
      </c>
      <c r="AM241" s="11" t="str">
        <f aca="false">IF(COUNT(P241:U241,AH241:AK241)=10,SUM(P241:U241,AH241:AK241),"")</f>
        <v/>
      </c>
      <c r="AN241" s="11" t="str">
        <f aca="false">IF(COUNT(Z241:AG241)=8,SUM(Z241:AG241),"")</f>
        <v/>
      </c>
      <c r="AO241" s="12" t="str">
        <f aca="false">IF(AL241="","",AL241/8)</f>
        <v/>
      </c>
      <c r="AP241" s="12" t="str">
        <f aca="false">IF(AM241="","",AM241/10)</f>
        <v/>
      </c>
      <c r="AQ241" s="12" t="str">
        <f aca="false">IF(AN241="","",AN241/8)</f>
        <v/>
      </c>
      <c r="AR241" s="11" t="str">
        <f aca="false">IF(A241="","",IF(OR(F241=1,G241=1,AND(E241&lt;&gt;"",E241&lt;=2)),2,IF(AND(E241&gt;=3,G241=2,OR(F241=2,F241=3)),1,"")))</f>
        <v/>
      </c>
      <c r="AS241" s="11" t="str">
        <f aca="false">IF(AR241=1,"טיפוסי",IF(AR241=2,"מתקשה",""))</f>
        <v/>
      </c>
      <c r="AT241" s="12" t="str">
        <f aca="false">IF(AR241=1,AO241,"")</f>
        <v/>
      </c>
      <c r="AU241" s="12" t="str">
        <f aca="false">IF(AR241=2,AO241,"")</f>
        <v/>
      </c>
      <c r="AV241" s="12" t="str">
        <f aca="false">IF(AR241=1,AP241,"")</f>
        <v/>
      </c>
      <c r="AW241" s="12" t="str">
        <f aca="false">IF(AR241=2,AP241,"")</f>
        <v/>
      </c>
      <c r="AX241" s="12" t="str">
        <f aca="false">IF(AR241=1,AQ241,"")</f>
        <v/>
      </c>
      <c r="AY241" s="12" t="str">
        <f aca="false">IF(AR241=2,AQ241,"")</f>
        <v/>
      </c>
    </row>
    <row r="242" customFormat="false" ht="15" hidden="false" customHeight="true" outlineLevel="0" collapsed="false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1" t="str">
        <f aca="false">IF(V242="","",6-V242)</f>
        <v/>
      </c>
      <c r="AI242" s="11" t="str">
        <f aca="false">IF(W242="","",6-W242)</f>
        <v/>
      </c>
      <c r="AJ242" s="11" t="str">
        <f aca="false">IF(X242="","",6-X242)</f>
        <v/>
      </c>
      <c r="AK242" s="11" t="str">
        <f aca="false">IF(Y242="","",6-Y242)</f>
        <v/>
      </c>
      <c r="AL242" s="11" t="str">
        <f aca="false">IF(COUNT(H242:O242)=8,SUM(H242:O242),"")</f>
        <v/>
      </c>
      <c r="AM242" s="11" t="str">
        <f aca="false">IF(COUNT(P242:U242,AH242:AK242)=10,SUM(P242:U242,AH242:AK242),"")</f>
        <v/>
      </c>
      <c r="AN242" s="11" t="str">
        <f aca="false">IF(COUNT(Z242:AG242)=8,SUM(Z242:AG242),"")</f>
        <v/>
      </c>
      <c r="AO242" s="12" t="str">
        <f aca="false">IF(AL242="","",AL242/8)</f>
        <v/>
      </c>
      <c r="AP242" s="12" t="str">
        <f aca="false">IF(AM242="","",AM242/10)</f>
        <v/>
      </c>
      <c r="AQ242" s="12" t="str">
        <f aca="false">IF(AN242="","",AN242/8)</f>
        <v/>
      </c>
      <c r="AR242" s="11" t="str">
        <f aca="false">IF(A242="","",IF(OR(F242=1,G242=1,AND(E242&lt;&gt;"",E242&lt;=2)),2,IF(AND(E242&gt;=3,G242=2,OR(F242=2,F242=3)),1,"")))</f>
        <v/>
      </c>
      <c r="AS242" s="11" t="str">
        <f aca="false">IF(AR242=1,"טיפוסי",IF(AR242=2,"מתקשה",""))</f>
        <v/>
      </c>
      <c r="AT242" s="12" t="str">
        <f aca="false">IF(AR242=1,AO242,"")</f>
        <v/>
      </c>
      <c r="AU242" s="12" t="str">
        <f aca="false">IF(AR242=2,AO242,"")</f>
        <v/>
      </c>
      <c r="AV242" s="12" t="str">
        <f aca="false">IF(AR242=1,AP242,"")</f>
        <v/>
      </c>
      <c r="AW242" s="12" t="str">
        <f aca="false">IF(AR242=2,AP242,"")</f>
        <v/>
      </c>
      <c r="AX242" s="12" t="str">
        <f aca="false">IF(AR242=1,AQ242,"")</f>
        <v/>
      </c>
      <c r="AY242" s="12" t="str">
        <f aca="false">IF(AR242=2,AQ242,"")</f>
        <v/>
      </c>
    </row>
    <row r="243" customFormat="false" ht="15" hidden="false" customHeight="true" outlineLevel="0" collapsed="false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1" t="str">
        <f aca="false">IF(V243="","",6-V243)</f>
        <v/>
      </c>
      <c r="AI243" s="11" t="str">
        <f aca="false">IF(W243="","",6-W243)</f>
        <v/>
      </c>
      <c r="AJ243" s="11" t="str">
        <f aca="false">IF(X243="","",6-X243)</f>
        <v/>
      </c>
      <c r="AK243" s="11" t="str">
        <f aca="false">IF(Y243="","",6-Y243)</f>
        <v/>
      </c>
      <c r="AL243" s="11" t="str">
        <f aca="false">IF(COUNT(H243:O243)=8,SUM(H243:O243),"")</f>
        <v/>
      </c>
      <c r="AM243" s="11" t="str">
        <f aca="false">IF(COUNT(P243:U243,AH243:AK243)=10,SUM(P243:U243,AH243:AK243),"")</f>
        <v/>
      </c>
      <c r="AN243" s="11" t="str">
        <f aca="false">IF(COUNT(Z243:AG243)=8,SUM(Z243:AG243),"")</f>
        <v/>
      </c>
      <c r="AO243" s="12" t="str">
        <f aca="false">IF(AL243="","",AL243/8)</f>
        <v/>
      </c>
      <c r="AP243" s="12" t="str">
        <f aca="false">IF(AM243="","",AM243/10)</f>
        <v/>
      </c>
      <c r="AQ243" s="12" t="str">
        <f aca="false">IF(AN243="","",AN243/8)</f>
        <v/>
      </c>
      <c r="AR243" s="11" t="str">
        <f aca="false">IF(A243="","",IF(OR(F243=1,G243=1,AND(E243&lt;&gt;"",E243&lt;=2)),2,IF(AND(E243&gt;=3,G243=2,OR(F243=2,F243=3)),1,"")))</f>
        <v/>
      </c>
      <c r="AS243" s="11" t="str">
        <f aca="false">IF(AR243=1,"טיפוסי",IF(AR243=2,"מתקשה",""))</f>
        <v/>
      </c>
      <c r="AT243" s="12" t="str">
        <f aca="false">IF(AR243=1,AO243,"")</f>
        <v/>
      </c>
      <c r="AU243" s="12" t="str">
        <f aca="false">IF(AR243=2,AO243,"")</f>
        <v/>
      </c>
      <c r="AV243" s="12" t="str">
        <f aca="false">IF(AR243=1,AP243,"")</f>
        <v/>
      </c>
      <c r="AW243" s="12" t="str">
        <f aca="false">IF(AR243=2,AP243,"")</f>
        <v/>
      </c>
      <c r="AX243" s="12" t="str">
        <f aca="false">IF(AR243=1,AQ243,"")</f>
        <v/>
      </c>
      <c r="AY243" s="12" t="str">
        <f aca="false">IF(AR243=2,AQ243,"")</f>
        <v/>
      </c>
    </row>
    <row r="244" customFormat="false" ht="15" hidden="false" customHeight="true" outlineLevel="0" collapsed="false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1" t="str">
        <f aca="false">IF(V244="","",6-V244)</f>
        <v/>
      </c>
      <c r="AI244" s="11" t="str">
        <f aca="false">IF(W244="","",6-W244)</f>
        <v/>
      </c>
      <c r="AJ244" s="11" t="str">
        <f aca="false">IF(X244="","",6-X244)</f>
        <v/>
      </c>
      <c r="AK244" s="11" t="str">
        <f aca="false">IF(Y244="","",6-Y244)</f>
        <v/>
      </c>
      <c r="AL244" s="11" t="str">
        <f aca="false">IF(COUNT(H244:O244)=8,SUM(H244:O244),"")</f>
        <v/>
      </c>
      <c r="AM244" s="11" t="str">
        <f aca="false">IF(COUNT(P244:U244,AH244:AK244)=10,SUM(P244:U244,AH244:AK244),"")</f>
        <v/>
      </c>
      <c r="AN244" s="11" t="str">
        <f aca="false">IF(COUNT(Z244:AG244)=8,SUM(Z244:AG244),"")</f>
        <v/>
      </c>
      <c r="AO244" s="12" t="str">
        <f aca="false">IF(AL244="","",AL244/8)</f>
        <v/>
      </c>
      <c r="AP244" s="12" t="str">
        <f aca="false">IF(AM244="","",AM244/10)</f>
        <v/>
      </c>
      <c r="AQ244" s="12" t="str">
        <f aca="false">IF(AN244="","",AN244/8)</f>
        <v/>
      </c>
      <c r="AR244" s="11" t="str">
        <f aca="false">IF(A244="","",IF(OR(F244=1,G244=1,AND(E244&lt;&gt;"",E244&lt;=2)),2,IF(AND(E244&gt;=3,G244=2,OR(F244=2,F244=3)),1,"")))</f>
        <v/>
      </c>
      <c r="AS244" s="11" t="str">
        <f aca="false">IF(AR244=1,"טיפוסי",IF(AR244=2,"מתקשה",""))</f>
        <v/>
      </c>
      <c r="AT244" s="12" t="str">
        <f aca="false">IF(AR244=1,AO244,"")</f>
        <v/>
      </c>
      <c r="AU244" s="12" t="str">
        <f aca="false">IF(AR244=2,AO244,"")</f>
        <v/>
      </c>
      <c r="AV244" s="12" t="str">
        <f aca="false">IF(AR244=1,AP244,"")</f>
        <v/>
      </c>
      <c r="AW244" s="12" t="str">
        <f aca="false">IF(AR244=2,AP244,"")</f>
        <v/>
      </c>
      <c r="AX244" s="12" t="str">
        <f aca="false">IF(AR244=1,AQ244,"")</f>
        <v/>
      </c>
      <c r="AY244" s="12" t="str">
        <f aca="false">IF(AR244=2,AQ244,"")</f>
        <v/>
      </c>
    </row>
    <row r="245" customFormat="false" ht="15" hidden="false" customHeight="true" outlineLevel="0" collapsed="false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1" t="str">
        <f aca="false">IF(V245="","",6-V245)</f>
        <v/>
      </c>
      <c r="AI245" s="11" t="str">
        <f aca="false">IF(W245="","",6-W245)</f>
        <v/>
      </c>
      <c r="AJ245" s="11" t="str">
        <f aca="false">IF(X245="","",6-X245)</f>
        <v/>
      </c>
      <c r="AK245" s="11" t="str">
        <f aca="false">IF(Y245="","",6-Y245)</f>
        <v/>
      </c>
      <c r="AL245" s="11" t="str">
        <f aca="false">IF(COUNT(H245:O245)=8,SUM(H245:O245),"")</f>
        <v/>
      </c>
      <c r="AM245" s="11" t="str">
        <f aca="false">IF(COUNT(P245:U245,AH245:AK245)=10,SUM(P245:U245,AH245:AK245),"")</f>
        <v/>
      </c>
      <c r="AN245" s="11" t="str">
        <f aca="false">IF(COUNT(Z245:AG245)=8,SUM(Z245:AG245),"")</f>
        <v/>
      </c>
      <c r="AO245" s="12" t="str">
        <f aca="false">IF(AL245="","",AL245/8)</f>
        <v/>
      </c>
      <c r="AP245" s="12" t="str">
        <f aca="false">IF(AM245="","",AM245/10)</f>
        <v/>
      </c>
      <c r="AQ245" s="12" t="str">
        <f aca="false">IF(AN245="","",AN245/8)</f>
        <v/>
      </c>
      <c r="AR245" s="11" t="str">
        <f aca="false">IF(A245="","",IF(OR(F245=1,G245=1,AND(E245&lt;&gt;"",E245&lt;=2)),2,IF(AND(E245&gt;=3,G245=2,OR(F245=2,F245=3)),1,"")))</f>
        <v/>
      </c>
      <c r="AS245" s="11" t="str">
        <f aca="false">IF(AR245=1,"טיפוסי",IF(AR245=2,"מתקשה",""))</f>
        <v/>
      </c>
      <c r="AT245" s="12" t="str">
        <f aca="false">IF(AR245=1,AO245,"")</f>
        <v/>
      </c>
      <c r="AU245" s="12" t="str">
        <f aca="false">IF(AR245=2,AO245,"")</f>
        <v/>
      </c>
      <c r="AV245" s="12" t="str">
        <f aca="false">IF(AR245=1,AP245,"")</f>
        <v/>
      </c>
      <c r="AW245" s="12" t="str">
        <f aca="false">IF(AR245=2,AP245,"")</f>
        <v/>
      </c>
      <c r="AX245" s="12" t="str">
        <f aca="false">IF(AR245=1,AQ245,"")</f>
        <v/>
      </c>
      <c r="AY245" s="12" t="str">
        <f aca="false">IF(AR245=2,AQ245,"")</f>
        <v/>
      </c>
    </row>
    <row r="246" customFormat="false" ht="15" hidden="false" customHeight="true" outlineLevel="0" collapsed="false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1" t="str">
        <f aca="false">IF(V246="","",6-V246)</f>
        <v/>
      </c>
      <c r="AI246" s="11" t="str">
        <f aca="false">IF(W246="","",6-W246)</f>
        <v/>
      </c>
      <c r="AJ246" s="11" t="str">
        <f aca="false">IF(X246="","",6-X246)</f>
        <v/>
      </c>
      <c r="AK246" s="11" t="str">
        <f aca="false">IF(Y246="","",6-Y246)</f>
        <v/>
      </c>
      <c r="AL246" s="11" t="str">
        <f aca="false">IF(COUNT(H246:O246)=8,SUM(H246:O246),"")</f>
        <v/>
      </c>
      <c r="AM246" s="11" t="str">
        <f aca="false">IF(COUNT(P246:U246,AH246:AK246)=10,SUM(P246:U246,AH246:AK246),"")</f>
        <v/>
      </c>
      <c r="AN246" s="11" t="str">
        <f aca="false">IF(COUNT(Z246:AG246)=8,SUM(Z246:AG246),"")</f>
        <v/>
      </c>
      <c r="AO246" s="12" t="str">
        <f aca="false">IF(AL246="","",AL246/8)</f>
        <v/>
      </c>
      <c r="AP246" s="12" t="str">
        <f aca="false">IF(AM246="","",AM246/10)</f>
        <v/>
      </c>
      <c r="AQ246" s="12" t="str">
        <f aca="false">IF(AN246="","",AN246/8)</f>
        <v/>
      </c>
      <c r="AR246" s="11" t="str">
        <f aca="false">IF(A246="","",IF(OR(F246=1,G246=1,AND(E246&lt;&gt;"",E246&lt;=2)),2,IF(AND(E246&gt;=3,G246=2,OR(F246=2,F246=3)),1,"")))</f>
        <v/>
      </c>
      <c r="AS246" s="11" t="str">
        <f aca="false">IF(AR246=1,"טיפוסי",IF(AR246=2,"מתקשה",""))</f>
        <v/>
      </c>
      <c r="AT246" s="12" t="str">
        <f aca="false">IF(AR246=1,AO246,"")</f>
        <v/>
      </c>
      <c r="AU246" s="12" t="str">
        <f aca="false">IF(AR246=2,AO246,"")</f>
        <v/>
      </c>
      <c r="AV246" s="12" t="str">
        <f aca="false">IF(AR246=1,AP246,"")</f>
        <v/>
      </c>
      <c r="AW246" s="12" t="str">
        <f aca="false">IF(AR246=2,AP246,"")</f>
        <v/>
      </c>
      <c r="AX246" s="12" t="str">
        <f aca="false">IF(AR246=1,AQ246,"")</f>
        <v/>
      </c>
      <c r="AY246" s="12" t="str">
        <f aca="false">IF(AR246=2,AQ246,"")</f>
        <v/>
      </c>
    </row>
    <row r="247" customFormat="false" ht="15" hidden="false" customHeight="true" outlineLevel="0" collapsed="false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1" t="str">
        <f aca="false">IF(V247="","",6-V247)</f>
        <v/>
      </c>
      <c r="AI247" s="11" t="str">
        <f aca="false">IF(W247="","",6-W247)</f>
        <v/>
      </c>
      <c r="AJ247" s="11" t="str">
        <f aca="false">IF(X247="","",6-X247)</f>
        <v/>
      </c>
      <c r="AK247" s="11" t="str">
        <f aca="false">IF(Y247="","",6-Y247)</f>
        <v/>
      </c>
      <c r="AL247" s="11" t="str">
        <f aca="false">IF(COUNT(H247:O247)=8,SUM(H247:O247),"")</f>
        <v/>
      </c>
      <c r="AM247" s="11" t="str">
        <f aca="false">IF(COUNT(P247:U247,AH247:AK247)=10,SUM(P247:U247,AH247:AK247),"")</f>
        <v/>
      </c>
      <c r="AN247" s="11" t="str">
        <f aca="false">IF(COUNT(Z247:AG247)=8,SUM(Z247:AG247),"")</f>
        <v/>
      </c>
      <c r="AO247" s="12" t="str">
        <f aca="false">IF(AL247="","",AL247/8)</f>
        <v/>
      </c>
      <c r="AP247" s="12" t="str">
        <f aca="false">IF(AM247="","",AM247/10)</f>
        <v/>
      </c>
      <c r="AQ247" s="12" t="str">
        <f aca="false">IF(AN247="","",AN247/8)</f>
        <v/>
      </c>
      <c r="AR247" s="11" t="str">
        <f aca="false">IF(A247="","",IF(OR(F247=1,G247=1,AND(E247&lt;&gt;"",E247&lt;=2)),2,IF(AND(E247&gt;=3,G247=2,OR(F247=2,F247=3)),1,"")))</f>
        <v/>
      </c>
      <c r="AS247" s="11" t="str">
        <f aca="false">IF(AR247=1,"טיפוסי",IF(AR247=2,"מתקשה",""))</f>
        <v/>
      </c>
      <c r="AT247" s="12" t="str">
        <f aca="false">IF(AR247=1,AO247,"")</f>
        <v/>
      </c>
      <c r="AU247" s="12" t="str">
        <f aca="false">IF(AR247=2,AO247,"")</f>
        <v/>
      </c>
      <c r="AV247" s="12" t="str">
        <f aca="false">IF(AR247=1,AP247,"")</f>
        <v/>
      </c>
      <c r="AW247" s="12" t="str">
        <f aca="false">IF(AR247=2,AP247,"")</f>
        <v/>
      </c>
      <c r="AX247" s="12" t="str">
        <f aca="false">IF(AR247=1,AQ247,"")</f>
        <v/>
      </c>
      <c r="AY247" s="12" t="str">
        <f aca="false">IF(AR247=2,AQ247,"")</f>
        <v/>
      </c>
    </row>
    <row r="248" customFormat="false" ht="15" hidden="false" customHeight="true" outlineLevel="0" collapsed="false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1" t="str">
        <f aca="false">IF(V248="","",6-V248)</f>
        <v/>
      </c>
      <c r="AI248" s="11" t="str">
        <f aca="false">IF(W248="","",6-W248)</f>
        <v/>
      </c>
      <c r="AJ248" s="11" t="str">
        <f aca="false">IF(X248="","",6-X248)</f>
        <v/>
      </c>
      <c r="AK248" s="11" t="str">
        <f aca="false">IF(Y248="","",6-Y248)</f>
        <v/>
      </c>
      <c r="AL248" s="11" t="str">
        <f aca="false">IF(COUNT(H248:O248)=8,SUM(H248:O248),"")</f>
        <v/>
      </c>
      <c r="AM248" s="11" t="str">
        <f aca="false">IF(COUNT(P248:U248,AH248:AK248)=10,SUM(P248:U248,AH248:AK248),"")</f>
        <v/>
      </c>
      <c r="AN248" s="11" t="str">
        <f aca="false">IF(COUNT(Z248:AG248)=8,SUM(Z248:AG248),"")</f>
        <v/>
      </c>
      <c r="AO248" s="12" t="str">
        <f aca="false">IF(AL248="","",AL248/8)</f>
        <v/>
      </c>
      <c r="AP248" s="12" t="str">
        <f aca="false">IF(AM248="","",AM248/10)</f>
        <v/>
      </c>
      <c r="AQ248" s="12" t="str">
        <f aca="false">IF(AN248="","",AN248/8)</f>
        <v/>
      </c>
      <c r="AR248" s="11" t="str">
        <f aca="false">IF(A248="","",IF(OR(F248=1,G248=1,AND(E248&lt;&gt;"",E248&lt;=2)),2,IF(AND(E248&gt;=3,G248=2,OR(F248=2,F248=3)),1,"")))</f>
        <v/>
      </c>
      <c r="AS248" s="11" t="str">
        <f aca="false">IF(AR248=1,"טיפוסי",IF(AR248=2,"מתקשה",""))</f>
        <v/>
      </c>
      <c r="AT248" s="12" t="str">
        <f aca="false">IF(AR248=1,AO248,"")</f>
        <v/>
      </c>
      <c r="AU248" s="12" t="str">
        <f aca="false">IF(AR248=2,AO248,"")</f>
        <v/>
      </c>
      <c r="AV248" s="12" t="str">
        <f aca="false">IF(AR248=1,AP248,"")</f>
        <v/>
      </c>
      <c r="AW248" s="12" t="str">
        <f aca="false">IF(AR248=2,AP248,"")</f>
        <v/>
      </c>
      <c r="AX248" s="12" t="str">
        <f aca="false">IF(AR248=1,AQ248,"")</f>
        <v/>
      </c>
      <c r="AY248" s="12" t="str">
        <f aca="false">IF(AR248=2,AQ248,"")</f>
        <v/>
      </c>
    </row>
    <row r="249" customFormat="false" ht="15" hidden="false" customHeight="true" outlineLevel="0" collapsed="false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1" t="str">
        <f aca="false">IF(V249="","",6-V249)</f>
        <v/>
      </c>
      <c r="AI249" s="11" t="str">
        <f aca="false">IF(W249="","",6-W249)</f>
        <v/>
      </c>
      <c r="AJ249" s="11" t="str">
        <f aca="false">IF(X249="","",6-X249)</f>
        <v/>
      </c>
      <c r="AK249" s="11" t="str">
        <f aca="false">IF(Y249="","",6-Y249)</f>
        <v/>
      </c>
      <c r="AL249" s="11" t="str">
        <f aca="false">IF(COUNT(H249:O249)=8,SUM(H249:O249),"")</f>
        <v/>
      </c>
      <c r="AM249" s="11" t="str">
        <f aca="false">IF(COUNT(P249:U249,AH249:AK249)=10,SUM(P249:U249,AH249:AK249),"")</f>
        <v/>
      </c>
      <c r="AN249" s="11" t="str">
        <f aca="false">IF(COUNT(Z249:AG249)=8,SUM(Z249:AG249),"")</f>
        <v/>
      </c>
      <c r="AO249" s="12" t="str">
        <f aca="false">IF(AL249="","",AL249/8)</f>
        <v/>
      </c>
      <c r="AP249" s="12" t="str">
        <f aca="false">IF(AM249="","",AM249/10)</f>
        <v/>
      </c>
      <c r="AQ249" s="12" t="str">
        <f aca="false">IF(AN249="","",AN249/8)</f>
        <v/>
      </c>
      <c r="AR249" s="11" t="str">
        <f aca="false">IF(A249="","",IF(OR(F249=1,G249=1,AND(E249&lt;&gt;"",E249&lt;=2)),2,IF(AND(E249&gt;=3,G249=2,OR(F249=2,F249=3)),1,"")))</f>
        <v/>
      </c>
      <c r="AS249" s="11" t="str">
        <f aca="false">IF(AR249=1,"טיפוסי",IF(AR249=2,"מתקשה",""))</f>
        <v/>
      </c>
      <c r="AT249" s="12" t="str">
        <f aca="false">IF(AR249=1,AO249,"")</f>
        <v/>
      </c>
      <c r="AU249" s="12" t="str">
        <f aca="false">IF(AR249=2,AO249,"")</f>
        <v/>
      </c>
      <c r="AV249" s="12" t="str">
        <f aca="false">IF(AR249=1,AP249,"")</f>
        <v/>
      </c>
      <c r="AW249" s="12" t="str">
        <f aca="false">IF(AR249=2,AP249,"")</f>
        <v/>
      </c>
      <c r="AX249" s="12" t="str">
        <f aca="false">IF(AR249=1,AQ249,"")</f>
        <v/>
      </c>
      <c r="AY249" s="12" t="str">
        <f aca="false">IF(AR249=2,AQ249,"")</f>
        <v/>
      </c>
    </row>
    <row r="250" customFormat="false" ht="15" hidden="false" customHeight="true" outlineLevel="0" collapsed="false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1" t="str">
        <f aca="false">IF(V250="","",6-V250)</f>
        <v/>
      </c>
      <c r="AI250" s="11" t="str">
        <f aca="false">IF(W250="","",6-W250)</f>
        <v/>
      </c>
      <c r="AJ250" s="11" t="str">
        <f aca="false">IF(X250="","",6-X250)</f>
        <v/>
      </c>
      <c r="AK250" s="11" t="str">
        <f aca="false">IF(Y250="","",6-Y250)</f>
        <v/>
      </c>
      <c r="AL250" s="11" t="str">
        <f aca="false">IF(COUNT(H250:O250)=8,SUM(H250:O250),"")</f>
        <v/>
      </c>
      <c r="AM250" s="11" t="str">
        <f aca="false">IF(COUNT(P250:U250,AH250:AK250)=10,SUM(P250:U250,AH250:AK250),"")</f>
        <v/>
      </c>
      <c r="AN250" s="11" t="str">
        <f aca="false">IF(COUNT(Z250:AG250)=8,SUM(Z250:AG250),"")</f>
        <v/>
      </c>
      <c r="AO250" s="12" t="str">
        <f aca="false">IF(AL250="","",AL250/8)</f>
        <v/>
      </c>
      <c r="AP250" s="12" t="str">
        <f aca="false">IF(AM250="","",AM250/10)</f>
        <v/>
      </c>
      <c r="AQ250" s="12" t="str">
        <f aca="false">IF(AN250="","",AN250/8)</f>
        <v/>
      </c>
      <c r="AR250" s="11" t="str">
        <f aca="false">IF(A250="","",IF(OR(F250=1,G250=1,AND(E250&lt;&gt;"",E250&lt;=2)),2,IF(AND(E250&gt;=3,G250=2,OR(F250=2,F250=3)),1,"")))</f>
        <v/>
      </c>
      <c r="AS250" s="11" t="str">
        <f aca="false">IF(AR250=1,"טיפוסי",IF(AR250=2,"מתקשה",""))</f>
        <v/>
      </c>
      <c r="AT250" s="12" t="str">
        <f aca="false">IF(AR250=1,AO250,"")</f>
        <v/>
      </c>
      <c r="AU250" s="12" t="str">
        <f aca="false">IF(AR250=2,AO250,"")</f>
        <v/>
      </c>
      <c r="AV250" s="12" t="str">
        <f aca="false">IF(AR250=1,AP250,"")</f>
        <v/>
      </c>
      <c r="AW250" s="12" t="str">
        <f aca="false">IF(AR250=2,AP250,"")</f>
        <v/>
      </c>
      <c r="AX250" s="12" t="str">
        <f aca="false">IF(AR250=1,AQ250,"")</f>
        <v/>
      </c>
      <c r="AY250" s="12" t="str">
        <f aca="false">IF(AR250=2,AQ250,"")</f>
        <v/>
      </c>
    </row>
    <row r="251" customFormat="false" ht="15" hidden="false" customHeight="true" outlineLevel="0" collapsed="false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1" t="str">
        <f aca="false">IF(V251="","",6-V251)</f>
        <v/>
      </c>
      <c r="AI251" s="11" t="str">
        <f aca="false">IF(W251="","",6-W251)</f>
        <v/>
      </c>
      <c r="AJ251" s="11" t="str">
        <f aca="false">IF(X251="","",6-X251)</f>
        <v/>
      </c>
      <c r="AK251" s="11" t="str">
        <f aca="false">IF(Y251="","",6-Y251)</f>
        <v/>
      </c>
      <c r="AL251" s="11" t="str">
        <f aca="false">IF(COUNT(H251:O251)=8,SUM(H251:O251),"")</f>
        <v/>
      </c>
      <c r="AM251" s="11" t="str">
        <f aca="false">IF(COUNT(P251:U251,AH251:AK251)=10,SUM(P251:U251,AH251:AK251),"")</f>
        <v/>
      </c>
      <c r="AN251" s="11" t="str">
        <f aca="false">IF(COUNT(Z251:AG251)=8,SUM(Z251:AG251),"")</f>
        <v/>
      </c>
      <c r="AO251" s="12" t="str">
        <f aca="false">IF(AL251="","",AL251/8)</f>
        <v/>
      </c>
      <c r="AP251" s="12" t="str">
        <f aca="false">IF(AM251="","",AM251/10)</f>
        <v/>
      </c>
      <c r="AQ251" s="12" t="str">
        <f aca="false">IF(AN251="","",AN251/8)</f>
        <v/>
      </c>
      <c r="AR251" s="11" t="str">
        <f aca="false">IF(A251="","",IF(OR(F251=1,G251=1,AND(E251&lt;&gt;"",E251&lt;=2)),2,IF(AND(E251&gt;=3,G251=2,OR(F251=2,F251=3)),1,"")))</f>
        <v/>
      </c>
      <c r="AS251" s="11" t="str">
        <f aca="false">IF(AR251=1,"טיפוסי",IF(AR251=2,"מתקשה",""))</f>
        <v/>
      </c>
      <c r="AT251" s="12" t="str">
        <f aca="false">IF(AR251=1,AO251,"")</f>
        <v/>
      </c>
      <c r="AU251" s="12" t="str">
        <f aca="false">IF(AR251=2,AO251,"")</f>
        <v/>
      </c>
      <c r="AV251" s="12" t="str">
        <f aca="false">IF(AR251=1,AP251,"")</f>
        <v/>
      </c>
      <c r="AW251" s="12" t="str">
        <f aca="false">IF(AR251=2,AP251,"")</f>
        <v/>
      </c>
      <c r="AX251" s="12" t="str">
        <f aca="false">IF(AR251=1,AQ251,"")</f>
        <v/>
      </c>
      <c r="AY251" s="12" t="str">
        <f aca="false">IF(AR251=2,AQ251,"")</f>
        <v/>
      </c>
    </row>
    <row r="252" customFormat="false" ht="15" hidden="false" customHeight="true" outlineLevel="0" collapsed="false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1" t="str">
        <f aca="false">IF(V252="","",6-V252)</f>
        <v/>
      </c>
      <c r="AI252" s="11" t="str">
        <f aca="false">IF(W252="","",6-W252)</f>
        <v/>
      </c>
      <c r="AJ252" s="11" t="str">
        <f aca="false">IF(X252="","",6-X252)</f>
        <v/>
      </c>
      <c r="AK252" s="11" t="str">
        <f aca="false">IF(Y252="","",6-Y252)</f>
        <v/>
      </c>
      <c r="AL252" s="11" t="str">
        <f aca="false">IF(COUNT(H252:O252)=8,SUM(H252:O252),"")</f>
        <v/>
      </c>
      <c r="AM252" s="11" t="str">
        <f aca="false">IF(COUNT(P252:U252,AH252:AK252)=10,SUM(P252:U252,AH252:AK252),"")</f>
        <v/>
      </c>
      <c r="AN252" s="11" t="str">
        <f aca="false">IF(COUNT(Z252:AG252)=8,SUM(Z252:AG252),"")</f>
        <v/>
      </c>
      <c r="AO252" s="12" t="str">
        <f aca="false">IF(AL252="","",AL252/8)</f>
        <v/>
      </c>
      <c r="AP252" s="12" t="str">
        <f aca="false">IF(AM252="","",AM252/10)</f>
        <v/>
      </c>
      <c r="AQ252" s="12" t="str">
        <f aca="false">IF(AN252="","",AN252/8)</f>
        <v/>
      </c>
      <c r="AR252" s="11" t="str">
        <f aca="false">IF(A252="","",IF(OR(F252=1,G252=1,AND(E252&lt;&gt;"",E252&lt;=2)),2,IF(AND(E252&gt;=3,G252=2,OR(F252=2,F252=3)),1,"")))</f>
        <v/>
      </c>
      <c r="AS252" s="11" t="str">
        <f aca="false">IF(AR252=1,"טיפוסי",IF(AR252=2,"מתקשה",""))</f>
        <v/>
      </c>
      <c r="AT252" s="12" t="str">
        <f aca="false">IF(AR252=1,AO252,"")</f>
        <v/>
      </c>
      <c r="AU252" s="12" t="str">
        <f aca="false">IF(AR252=2,AO252,"")</f>
        <v/>
      </c>
      <c r="AV252" s="12" t="str">
        <f aca="false">IF(AR252=1,AP252,"")</f>
        <v/>
      </c>
      <c r="AW252" s="12" t="str">
        <f aca="false">IF(AR252=2,AP252,"")</f>
        <v/>
      </c>
      <c r="AX252" s="12" t="str">
        <f aca="false">IF(AR252=1,AQ252,"")</f>
        <v/>
      </c>
      <c r="AY252" s="12" t="str">
        <f aca="false">IF(AR252=2,AQ252,"")</f>
        <v/>
      </c>
    </row>
    <row r="253" customFormat="false" ht="15" hidden="false" customHeight="true" outlineLevel="0" collapsed="false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1" t="str">
        <f aca="false">IF(V253="","",6-V253)</f>
        <v/>
      </c>
      <c r="AI253" s="11" t="str">
        <f aca="false">IF(W253="","",6-W253)</f>
        <v/>
      </c>
      <c r="AJ253" s="11" t="str">
        <f aca="false">IF(X253="","",6-X253)</f>
        <v/>
      </c>
      <c r="AK253" s="11" t="str">
        <f aca="false">IF(Y253="","",6-Y253)</f>
        <v/>
      </c>
      <c r="AL253" s="11" t="str">
        <f aca="false">IF(COUNT(H253:O253)=8,SUM(H253:O253),"")</f>
        <v/>
      </c>
      <c r="AM253" s="11" t="str">
        <f aca="false">IF(COUNT(P253:U253,AH253:AK253)=10,SUM(P253:U253,AH253:AK253),"")</f>
        <v/>
      </c>
      <c r="AN253" s="11" t="str">
        <f aca="false">IF(COUNT(Z253:AG253)=8,SUM(Z253:AG253),"")</f>
        <v/>
      </c>
      <c r="AO253" s="12" t="str">
        <f aca="false">IF(AL253="","",AL253/8)</f>
        <v/>
      </c>
      <c r="AP253" s="12" t="str">
        <f aca="false">IF(AM253="","",AM253/10)</f>
        <v/>
      </c>
      <c r="AQ253" s="12" t="str">
        <f aca="false">IF(AN253="","",AN253/8)</f>
        <v/>
      </c>
      <c r="AR253" s="11" t="str">
        <f aca="false">IF(A253="","",IF(OR(F253=1,G253=1,AND(E253&lt;&gt;"",E253&lt;=2)),2,IF(AND(E253&gt;=3,G253=2,OR(F253=2,F253=3)),1,"")))</f>
        <v/>
      </c>
      <c r="AS253" s="11" t="str">
        <f aca="false">IF(AR253=1,"טיפוסי",IF(AR253=2,"מתקשה",""))</f>
        <v/>
      </c>
      <c r="AT253" s="12" t="str">
        <f aca="false">IF(AR253=1,AO253,"")</f>
        <v/>
      </c>
      <c r="AU253" s="12" t="str">
        <f aca="false">IF(AR253=2,AO253,"")</f>
        <v/>
      </c>
      <c r="AV253" s="12" t="str">
        <f aca="false">IF(AR253=1,AP253,"")</f>
        <v/>
      </c>
      <c r="AW253" s="12" t="str">
        <f aca="false">IF(AR253=2,AP253,"")</f>
        <v/>
      </c>
      <c r="AX253" s="12" t="str">
        <f aca="false">IF(AR253=1,AQ253,"")</f>
        <v/>
      </c>
      <c r="AY253" s="12" t="str">
        <f aca="false">IF(AR253=2,AQ253,"")</f>
        <v/>
      </c>
    </row>
    <row r="254" customFormat="false" ht="15" hidden="false" customHeight="true" outlineLevel="0" collapsed="false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1" t="str">
        <f aca="false">IF(V254="","",6-V254)</f>
        <v/>
      </c>
      <c r="AI254" s="11" t="str">
        <f aca="false">IF(W254="","",6-W254)</f>
        <v/>
      </c>
      <c r="AJ254" s="11" t="str">
        <f aca="false">IF(X254="","",6-X254)</f>
        <v/>
      </c>
      <c r="AK254" s="11" t="str">
        <f aca="false">IF(Y254="","",6-Y254)</f>
        <v/>
      </c>
      <c r="AL254" s="11" t="str">
        <f aca="false">IF(COUNT(H254:O254)=8,SUM(H254:O254),"")</f>
        <v/>
      </c>
      <c r="AM254" s="11" t="str">
        <f aca="false">IF(COUNT(P254:U254,AH254:AK254)=10,SUM(P254:U254,AH254:AK254),"")</f>
        <v/>
      </c>
      <c r="AN254" s="11" t="str">
        <f aca="false">IF(COUNT(Z254:AG254)=8,SUM(Z254:AG254),"")</f>
        <v/>
      </c>
      <c r="AO254" s="12" t="str">
        <f aca="false">IF(AL254="","",AL254/8)</f>
        <v/>
      </c>
      <c r="AP254" s="12" t="str">
        <f aca="false">IF(AM254="","",AM254/10)</f>
        <v/>
      </c>
      <c r="AQ254" s="12" t="str">
        <f aca="false">IF(AN254="","",AN254/8)</f>
        <v/>
      </c>
      <c r="AR254" s="11" t="str">
        <f aca="false">IF(A254="","",IF(OR(F254=1,G254=1,AND(E254&lt;&gt;"",E254&lt;=2)),2,IF(AND(E254&gt;=3,G254=2,OR(F254=2,F254=3)),1,"")))</f>
        <v/>
      </c>
      <c r="AS254" s="11" t="str">
        <f aca="false">IF(AR254=1,"טיפוסי",IF(AR254=2,"מתקשה",""))</f>
        <v/>
      </c>
      <c r="AT254" s="12" t="str">
        <f aca="false">IF(AR254=1,AO254,"")</f>
        <v/>
      </c>
      <c r="AU254" s="12" t="str">
        <f aca="false">IF(AR254=2,AO254,"")</f>
        <v/>
      </c>
      <c r="AV254" s="12" t="str">
        <f aca="false">IF(AR254=1,AP254,"")</f>
        <v/>
      </c>
      <c r="AW254" s="12" t="str">
        <f aca="false">IF(AR254=2,AP254,"")</f>
        <v/>
      </c>
      <c r="AX254" s="12" t="str">
        <f aca="false">IF(AR254=1,AQ254,"")</f>
        <v/>
      </c>
      <c r="AY254" s="12" t="str">
        <f aca="false">IF(AR254=2,AQ254,"")</f>
        <v/>
      </c>
    </row>
    <row r="255" customFormat="false" ht="15" hidden="false" customHeight="true" outlineLevel="0" collapsed="false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1" t="str">
        <f aca="false">IF(V255="","",6-V255)</f>
        <v/>
      </c>
      <c r="AI255" s="11" t="str">
        <f aca="false">IF(W255="","",6-W255)</f>
        <v/>
      </c>
      <c r="AJ255" s="11" t="str">
        <f aca="false">IF(X255="","",6-X255)</f>
        <v/>
      </c>
      <c r="AK255" s="11" t="str">
        <f aca="false">IF(Y255="","",6-Y255)</f>
        <v/>
      </c>
      <c r="AL255" s="11" t="str">
        <f aca="false">IF(COUNT(H255:O255)=8,SUM(H255:O255),"")</f>
        <v/>
      </c>
      <c r="AM255" s="11" t="str">
        <f aca="false">IF(COUNT(P255:U255,AH255:AK255)=10,SUM(P255:U255,AH255:AK255),"")</f>
        <v/>
      </c>
      <c r="AN255" s="11" t="str">
        <f aca="false">IF(COUNT(Z255:AG255)=8,SUM(Z255:AG255),"")</f>
        <v/>
      </c>
      <c r="AO255" s="12" t="str">
        <f aca="false">IF(AL255="","",AL255/8)</f>
        <v/>
      </c>
      <c r="AP255" s="12" t="str">
        <f aca="false">IF(AM255="","",AM255/10)</f>
        <v/>
      </c>
      <c r="AQ255" s="12" t="str">
        <f aca="false">IF(AN255="","",AN255/8)</f>
        <v/>
      </c>
      <c r="AR255" s="11" t="str">
        <f aca="false">IF(A255="","",IF(OR(F255=1,G255=1,AND(E255&lt;&gt;"",E255&lt;=2)),2,IF(AND(E255&gt;=3,G255=2,OR(F255=2,F255=3)),1,"")))</f>
        <v/>
      </c>
      <c r="AS255" s="11" t="str">
        <f aca="false">IF(AR255=1,"טיפוסי",IF(AR255=2,"מתקשה",""))</f>
        <v/>
      </c>
      <c r="AT255" s="12" t="str">
        <f aca="false">IF(AR255=1,AO255,"")</f>
        <v/>
      </c>
      <c r="AU255" s="12" t="str">
        <f aca="false">IF(AR255=2,AO255,"")</f>
        <v/>
      </c>
      <c r="AV255" s="12" t="str">
        <f aca="false">IF(AR255=1,AP255,"")</f>
        <v/>
      </c>
      <c r="AW255" s="12" t="str">
        <f aca="false">IF(AR255=2,AP255,"")</f>
        <v/>
      </c>
      <c r="AX255" s="12" t="str">
        <f aca="false">IF(AR255=1,AQ255,"")</f>
        <v/>
      </c>
      <c r="AY255" s="12" t="str">
        <f aca="false">IF(AR255=2,AQ255,"")</f>
        <v/>
      </c>
    </row>
    <row r="256" customFormat="false" ht="15" hidden="false" customHeight="true" outlineLevel="0" collapsed="false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1" t="str">
        <f aca="false">IF(V256="","",6-V256)</f>
        <v/>
      </c>
      <c r="AI256" s="11" t="str">
        <f aca="false">IF(W256="","",6-W256)</f>
        <v/>
      </c>
      <c r="AJ256" s="11" t="str">
        <f aca="false">IF(X256="","",6-X256)</f>
        <v/>
      </c>
      <c r="AK256" s="11" t="str">
        <f aca="false">IF(Y256="","",6-Y256)</f>
        <v/>
      </c>
      <c r="AL256" s="11" t="str">
        <f aca="false">IF(COUNT(H256:O256)=8,SUM(H256:O256),"")</f>
        <v/>
      </c>
      <c r="AM256" s="11" t="str">
        <f aca="false">IF(COUNT(P256:U256,AH256:AK256)=10,SUM(P256:U256,AH256:AK256),"")</f>
        <v/>
      </c>
      <c r="AN256" s="11" t="str">
        <f aca="false">IF(COUNT(Z256:AG256)=8,SUM(Z256:AG256),"")</f>
        <v/>
      </c>
      <c r="AO256" s="12" t="str">
        <f aca="false">IF(AL256="","",AL256/8)</f>
        <v/>
      </c>
      <c r="AP256" s="12" t="str">
        <f aca="false">IF(AM256="","",AM256/10)</f>
        <v/>
      </c>
      <c r="AQ256" s="12" t="str">
        <f aca="false">IF(AN256="","",AN256/8)</f>
        <v/>
      </c>
      <c r="AR256" s="11" t="str">
        <f aca="false">IF(A256="","",IF(OR(F256=1,G256=1,AND(E256&lt;&gt;"",E256&lt;=2)),2,IF(AND(E256&gt;=3,G256=2,OR(F256=2,F256=3)),1,"")))</f>
        <v/>
      </c>
      <c r="AS256" s="11" t="str">
        <f aca="false">IF(AR256=1,"טיפוסי",IF(AR256=2,"מתקשה",""))</f>
        <v/>
      </c>
      <c r="AT256" s="12" t="str">
        <f aca="false">IF(AR256=1,AO256,"")</f>
        <v/>
      </c>
      <c r="AU256" s="12" t="str">
        <f aca="false">IF(AR256=2,AO256,"")</f>
        <v/>
      </c>
      <c r="AV256" s="12" t="str">
        <f aca="false">IF(AR256=1,AP256,"")</f>
        <v/>
      </c>
      <c r="AW256" s="12" t="str">
        <f aca="false">IF(AR256=2,AP256,"")</f>
        <v/>
      </c>
      <c r="AX256" s="12" t="str">
        <f aca="false">IF(AR256=1,AQ256,"")</f>
        <v/>
      </c>
      <c r="AY256" s="12" t="str">
        <f aca="false">IF(AR256=2,AQ256,"")</f>
        <v/>
      </c>
    </row>
    <row r="257" customFormat="false" ht="15" hidden="false" customHeight="true" outlineLevel="0" collapsed="false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1" t="str">
        <f aca="false">IF(V257="","",6-V257)</f>
        <v/>
      </c>
      <c r="AI257" s="11" t="str">
        <f aca="false">IF(W257="","",6-W257)</f>
        <v/>
      </c>
      <c r="AJ257" s="11" t="str">
        <f aca="false">IF(X257="","",6-X257)</f>
        <v/>
      </c>
      <c r="AK257" s="11" t="str">
        <f aca="false">IF(Y257="","",6-Y257)</f>
        <v/>
      </c>
      <c r="AL257" s="11" t="str">
        <f aca="false">IF(COUNT(H257:O257)=8,SUM(H257:O257),"")</f>
        <v/>
      </c>
      <c r="AM257" s="11" t="str">
        <f aca="false">IF(COUNT(P257:U257,AH257:AK257)=10,SUM(P257:U257,AH257:AK257),"")</f>
        <v/>
      </c>
      <c r="AN257" s="11" t="str">
        <f aca="false">IF(COUNT(Z257:AG257)=8,SUM(Z257:AG257),"")</f>
        <v/>
      </c>
      <c r="AO257" s="12" t="str">
        <f aca="false">IF(AL257="","",AL257/8)</f>
        <v/>
      </c>
      <c r="AP257" s="12" t="str">
        <f aca="false">IF(AM257="","",AM257/10)</f>
        <v/>
      </c>
      <c r="AQ257" s="12" t="str">
        <f aca="false">IF(AN257="","",AN257/8)</f>
        <v/>
      </c>
      <c r="AR257" s="11" t="str">
        <f aca="false">IF(A257="","",IF(OR(F257=1,G257=1,AND(E257&lt;&gt;"",E257&lt;=2)),2,IF(AND(E257&gt;=3,G257=2,OR(F257=2,F257=3)),1,"")))</f>
        <v/>
      </c>
      <c r="AS257" s="11" t="str">
        <f aca="false">IF(AR257=1,"טיפוסי",IF(AR257=2,"מתקשה",""))</f>
        <v/>
      </c>
      <c r="AT257" s="12" t="str">
        <f aca="false">IF(AR257=1,AO257,"")</f>
        <v/>
      </c>
      <c r="AU257" s="12" t="str">
        <f aca="false">IF(AR257=2,AO257,"")</f>
        <v/>
      </c>
      <c r="AV257" s="12" t="str">
        <f aca="false">IF(AR257=1,AP257,"")</f>
        <v/>
      </c>
      <c r="AW257" s="12" t="str">
        <f aca="false">IF(AR257=2,AP257,"")</f>
        <v/>
      </c>
      <c r="AX257" s="12" t="str">
        <f aca="false">IF(AR257=1,AQ257,"")</f>
        <v/>
      </c>
      <c r="AY257" s="12" t="str">
        <f aca="false">IF(AR257=2,AQ257,"")</f>
        <v/>
      </c>
    </row>
    <row r="258" customFormat="false" ht="15" hidden="false" customHeight="true" outlineLevel="0" collapsed="false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1" t="str">
        <f aca="false">IF(V258="","",6-V258)</f>
        <v/>
      </c>
      <c r="AI258" s="11" t="str">
        <f aca="false">IF(W258="","",6-W258)</f>
        <v/>
      </c>
      <c r="AJ258" s="11" t="str">
        <f aca="false">IF(X258="","",6-X258)</f>
        <v/>
      </c>
      <c r="AK258" s="11" t="str">
        <f aca="false">IF(Y258="","",6-Y258)</f>
        <v/>
      </c>
      <c r="AL258" s="11" t="str">
        <f aca="false">IF(COUNT(H258:O258)=8,SUM(H258:O258),"")</f>
        <v/>
      </c>
      <c r="AM258" s="11" t="str">
        <f aca="false">IF(COUNT(P258:U258,AH258:AK258)=10,SUM(P258:U258,AH258:AK258),"")</f>
        <v/>
      </c>
      <c r="AN258" s="11" t="str">
        <f aca="false">IF(COUNT(Z258:AG258)=8,SUM(Z258:AG258),"")</f>
        <v/>
      </c>
      <c r="AO258" s="12" t="str">
        <f aca="false">IF(AL258="","",AL258/8)</f>
        <v/>
      </c>
      <c r="AP258" s="12" t="str">
        <f aca="false">IF(AM258="","",AM258/10)</f>
        <v/>
      </c>
      <c r="AQ258" s="12" t="str">
        <f aca="false">IF(AN258="","",AN258/8)</f>
        <v/>
      </c>
      <c r="AR258" s="11" t="str">
        <f aca="false">IF(A258="","",IF(OR(F258=1,G258=1,AND(E258&lt;&gt;"",E258&lt;=2)),2,IF(AND(E258&gt;=3,G258=2,OR(F258=2,F258=3)),1,"")))</f>
        <v/>
      </c>
      <c r="AS258" s="11" t="str">
        <f aca="false">IF(AR258=1,"טיפוסי",IF(AR258=2,"מתקשה",""))</f>
        <v/>
      </c>
      <c r="AT258" s="12" t="str">
        <f aca="false">IF(AR258=1,AO258,"")</f>
        <v/>
      </c>
      <c r="AU258" s="12" t="str">
        <f aca="false">IF(AR258=2,AO258,"")</f>
        <v/>
      </c>
      <c r="AV258" s="12" t="str">
        <f aca="false">IF(AR258=1,AP258,"")</f>
        <v/>
      </c>
      <c r="AW258" s="12" t="str">
        <f aca="false">IF(AR258=2,AP258,"")</f>
        <v/>
      </c>
      <c r="AX258" s="12" t="str">
        <f aca="false">IF(AR258=1,AQ258,"")</f>
        <v/>
      </c>
      <c r="AY258" s="12" t="str">
        <f aca="false">IF(AR258=2,AQ258,"")</f>
        <v/>
      </c>
    </row>
    <row r="259" customFormat="false" ht="15" hidden="false" customHeight="true" outlineLevel="0" collapsed="false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1" t="str">
        <f aca="false">IF(V259="","",6-V259)</f>
        <v/>
      </c>
      <c r="AI259" s="11" t="str">
        <f aca="false">IF(W259="","",6-W259)</f>
        <v/>
      </c>
      <c r="AJ259" s="11" t="str">
        <f aca="false">IF(X259="","",6-X259)</f>
        <v/>
      </c>
      <c r="AK259" s="11" t="str">
        <f aca="false">IF(Y259="","",6-Y259)</f>
        <v/>
      </c>
      <c r="AL259" s="11" t="str">
        <f aca="false">IF(COUNT(H259:O259)=8,SUM(H259:O259),"")</f>
        <v/>
      </c>
      <c r="AM259" s="11" t="str">
        <f aca="false">IF(COUNT(P259:U259,AH259:AK259)=10,SUM(P259:U259,AH259:AK259),"")</f>
        <v/>
      </c>
      <c r="AN259" s="11" t="str">
        <f aca="false">IF(COUNT(Z259:AG259)=8,SUM(Z259:AG259),"")</f>
        <v/>
      </c>
      <c r="AO259" s="12" t="str">
        <f aca="false">IF(AL259="","",AL259/8)</f>
        <v/>
      </c>
      <c r="AP259" s="12" t="str">
        <f aca="false">IF(AM259="","",AM259/10)</f>
        <v/>
      </c>
      <c r="AQ259" s="12" t="str">
        <f aca="false">IF(AN259="","",AN259/8)</f>
        <v/>
      </c>
      <c r="AR259" s="11" t="str">
        <f aca="false">IF(A259="","",IF(OR(F259=1,G259=1,AND(E259&lt;&gt;"",E259&lt;=2)),2,IF(AND(E259&gt;=3,G259=2,OR(F259=2,F259=3)),1,"")))</f>
        <v/>
      </c>
      <c r="AS259" s="11" t="str">
        <f aca="false">IF(AR259=1,"טיפוסי",IF(AR259=2,"מתקשה",""))</f>
        <v/>
      </c>
      <c r="AT259" s="12" t="str">
        <f aca="false">IF(AR259=1,AO259,"")</f>
        <v/>
      </c>
      <c r="AU259" s="12" t="str">
        <f aca="false">IF(AR259=2,AO259,"")</f>
        <v/>
      </c>
      <c r="AV259" s="12" t="str">
        <f aca="false">IF(AR259=1,AP259,"")</f>
        <v/>
      </c>
      <c r="AW259" s="12" t="str">
        <f aca="false">IF(AR259=2,AP259,"")</f>
        <v/>
      </c>
      <c r="AX259" s="12" t="str">
        <f aca="false">IF(AR259=1,AQ259,"")</f>
        <v/>
      </c>
      <c r="AY259" s="12" t="str">
        <f aca="false">IF(AR259=2,AQ259,"")</f>
        <v/>
      </c>
    </row>
    <row r="260" customFormat="false" ht="15" hidden="false" customHeight="true" outlineLevel="0" collapsed="false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1" t="str">
        <f aca="false">IF(V260="","",6-V260)</f>
        <v/>
      </c>
      <c r="AI260" s="11" t="str">
        <f aca="false">IF(W260="","",6-W260)</f>
        <v/>
      </c>
      <c r="AJ260" s="11" t="str">
        <f aca="false">IF(X260="","",6-X260)</f>
        <v/>
      </c>
      <c r="AK260" s="11" t="str">
        <f aca="false">IF(Y260="","",6-Y260)</f>
        <v/>
      </c>
      <c r="AL260" s="11" t="str">
        <f aca="false">IF(COUNT(H260:O260)=8,SUM(H260:O260),"")</f>
        <v/>
      </c>
      <c r="AM260" s="11" t="str">
        <f aca="false">IF(COUNT(P260:U260,AH260:AK260)=10,SUM(P260:U260,AH260:AK260),"")</f>
        <v/>
      </c>
      <c r="AN260" s="11" t="str">
        <f aca="false">IF(COUNT(Z260:AG260)=8,SUM(Z260:AG260),"")</f>
        <v/>
      </c>
      <c r="AO260" s="12" t="str">
        <f aca="false">IF(AL260="","",AL260/8)</f>
        <v/>
      </c>
      <c r="AP260" s="12" t="str">
        <f aca="false">IF(AM260="","",AM260/10)</f>
        <v/>
      </c>
      <c r="AQ260" s="12" t="str">
        <f aca="false">IF(AN260="","",AN260/8)</f>
        <v/>
      </c>
      <c r="AR260" s="11" t="str">
        <f aca="false">IF(A260="","",IF(OR(F260=1,G260=1,AND(E260&lt;&gt;"",E260&lt;=2)),2,IF(AND(E260&gt;=3,G260=2,OR(F260=2,F260=3)),1,"")))</f>
        <v/>
      </c>
      <c r="AS260" s="11" t="str">
        <f aca="false">IF(AR260=1,"טיפוסי",IF(AR260=2,"מתקשה",""))</f>
        <v/>
      </c>
      <c r="AT260" s="12" t="str">
        <f aca="false">IF(AR260=1,AO260,"")</f>
        <v/>
      </c>
      <c r="AU260" s="12" t="str">
        <f aca="false">IF(AR260=2,AO260,"")</f>
        <v/>
      </c>
      <c r="AV260" s="12" t="str">
        <f aca="false">IF(AR260=1,AP260,"")</f>
        <v/>
      </c>
      <c r="AW260" s="12" t="str">
        <f aca="false">IF(AR260=2,AP260,"")</f>
        <v/>
      </c>
      <c r="AX260" s="12" t="str">
        <f aca="false">IF(AR260=1,AQ260,"")</f>
        <v/>
      </c>
      <c r="AY260" s="12" t="str">
        <f aca="false">IF(AR260=2,AQ260,"")</f>
        <v/>
      </c>
    </row>
    <row r="261" customFormat="false" ht="15" hidden="false" customHeight="true" outlineLevel="0" collapsed="false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1" t="str">
        <f aca="false">IF(V261="","",6-V261)</f>
        <v/>
      </c>
      <c r="AI261" s="11" t="str">
        <f aca="false">IF(W261="","",6-W261)</f>
        <v/>
      </c>
      <c r="AJ261" s="11" t="str">
        <f aca="false">IF(X261="","",6-X261)</f>
        <v/>
      </c>
      <c r="AK261" s="11" t="str">
        <f aca="false">IF(Y261="","",6-Y261)</f>
        <v/>
      </c>
      <c r="AL261" s="11" t="str">
        <f aca="false">IF(COUNT(H261:O261)=8,SUM(H261:O261),"")</f>
        <v/>
      </c>
      <c r="AM261" s="11" t="str">
        <f aca="false">IF(COUNT(P261:U261,AH261:AK261)=10,SUM(P261:U261,AH261:AK261),"")</f>
        <v/>
      </c>
      <c r="AN261" s="11" t="str">
        <f aca="false">IF(COUNT(Z261:AG261)=8,SUM(Z261:AG261),"")</f>
        <v/>
      </c>
      <c r="AO261" s="12" t="str">
        <f aca="false">IF(AL261="","",AL261/8)</f>
        <v/>
      </c>
      <c r="AP261" s="12" t="str">
        <f aca="false">IF(AM261="","",AM261/10)</f>
        <v/>
      </c>
      <c r="AQ261" s="12" t="str">
        <f aca="false">IF(AN261="","",AN261/8)</f>
        <v/>
      </c>
      <c r="AR261" s="11" t="str">
        <f aca="false">IF(A261="","",IF(OR(F261=1,G261=1,AND(E261&lt;&gt;"",E261&lt;=2)),2,IF(AND(E261&gt;=3,G261=2,OR(F261=2,F261=3)),1,"")))</f>
        <v/>
      </c>
      <c r="AS261" s="11" t="str">
        <f aca="false">IF(AR261=1,"טיפוסי",IF(AR261=2,"מתקשה",""))</f>
        <v/>
      </c>
      <c r="AT261" s="12" t="str">
        <f aca="false">IF(AR261=1,AO261,"")</f>
        <v/>
      </c>
      <c r="AU261" s="12" t="str">
        <f aca="false">IF(AR261=2,AO261,"")</f>
        <v/>
      </c>
      <c r="AV261" s="12" t="str">
        <f aca="false">IF(AR261=1,AP261,"")</f>
        <v/>
      </c>
      <c r="AW261" s="12" t="str">
        <f aca="false">IF(AR261=2,AP261,"")</f>
        <v/>
      </c>
      <c r="AX261" s="12" t="str">
        <f aca="false">IF(AR261=1,AQ261,"")</f>
        <v/>
      </c>
      <c r="AY261" s="12" t="str">
        <f aca="false">IF(AR261=2,AQ261,"")</f>
        <v/>
      </c>
    </row>
    <row r="262" customFormat="false" ht="15" hidden="false" customHeight="true" outlineLevel="0" collapsed="false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1" t="str">
        <f aca="false">IF(V262="","",6-V262)</f>
        <v/>
      </c>
      <c r="AI262" s="11" t="str">
        <f aca="false">IF(W262="","",6-W262)</f>
        <v/>
      </c>
      <c r="AJ262" s="11" t="str">
        <f aca="false">IF(X262="","",6-X262)</f>
        <v/>
      </c>
      <c r="AK262" s="11" t="str">
        <f aca="false">IF(Y262="","",6-Y262)</f>
        <v/>
      </c>
      <c r="AL262" s="11" t="str">
        <f aca="false">IF(COUNT(H262:O262)=8,SUM(H262:O262),"")</f>
        <v/>
      </c>
      <c r="AM262" s="11" t="str">
        <f aca="false">IF(COUNT(P262:U262,AH262:AK262)=10,SUM(P262:U262,AH262:AK262),"")</f>
        <v/>
      </c>
      <c r="AN262" s="11" t="str">
        <f aca="false">IF(COUNT(Z262:AG262)=8,SUM(Z262:AG262),"")</f>
        <v/>
      </c>
      <c r="AO262" s="12" t="str">
        <f aca="false">IF(AL262="","",AL262/8)</f>
        <v/>
      </c>
      <c r="AP262" s="12" t="str">
        <f aca="false">IF(AM262="","",AM262/10)</f>
        <v/>
      </c>
      <c r="AQ262" s="12" t="str">
        <f aca="false">IF(AN262="","",AN262/8)</f>
        <v/>
      </c>
      <c r="AR262" s="11" t="str">
        <f aca="false">IF(A262="","",IF(OR(F262=1,G262=1,AND(E262&lt;&gt;"",E262&lt;=2)),2,IF(AND(E262&gt;=3,G262=2,OR(F262=2,F262=3)),1,"")))</f>
        <v/>
      </c>
      <c r="AS262" s="11" t="str">
        <f aca="false">IF(AR262=1,"טיפוסי",IF(AR262=2,"מתקשה",""))</f>
        <v/>
      </c>
      <c r="AT262" s="12" t="str">
        <f aca="false">IF(AR262=1,AO262,"")</f>
        <v/>
      </c>
      <c r="AU262" s="12" t="str">
        <f aca="false">IF(AR262=2,AO262,"")</f>
        <v/>
      </c>
      <c r="AV262" s="12" t="str">
        <f aca="false">IF(AR262=1,AP262,"")</f>
        <v/>
      </c>
      <c r="AW262" s="12" t="str">
        <f aca="false">IF(AR262=2,AP262,"")</f>
        <v/>
      </c>
      <c r="AX262" s="12" t="str">
        <f aca="false">IF(AR262=1,AQ262,"")</f>
        <v/>
      </c>
      <c r="AY262" s="12" t="str">
        <f aca="false">IF(AR262=2,AQ262,"")</f>
        <v/>
      </c>
    </row>
    <row r="263" customFormat="false" ht="15" hidden="false" customHeight="true" outlineLevel="0" collapsed="false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1" t="str">
        <f aca="false">IF(V263="","",6-V263)</f>
        <v/>
      </c>
      <c r="AI263" s="11" t="str">
        <f aca="false">IF(W263="","",6-W263)</f>
        <v/>
      </c>
      <c r="AJ263" s="11" t="str">
        <f aca="false">IF(X263="","",6-X263)</f>
        <v/>
      </c>
      <c r="AK263" s="11" t="str">
        <f aca="false">IF(Y263="","",6-Y263)</f>
        <v/>
      </c>
      <c r="AL263" s="11" t="str">
        <f aca="false">IF(COUNT(H263:O263)=8,SUM(H263:O263),"")</f>
        <v/>
      </c>
      <c r="AM263" s="11" t="str">
        <f aca="false">IF(COUNT(P263:U263,AH263:AK263)=10,SUM(P263:U263,AH263:AK263),"")</f>
        <v/>
      </c>
      <c r="AN263" s="11" t="str">
        <f aca="false">IF(COUNT(Z263:AG263)=8,SUM(Z263:AG263),"")</f>
        <v/>
      </c>
      <c r="AO263" s="12" t="str">
        <f aca="false">IF(AL263="","",AL263/8)</f>
        <v/>
      </c>
      <c r="AP263" s="12" t="str">
        <f aca="false">IF(AM263="","",AM263/10)</f>
        <v/>
      </c>
      <c r="AQ263" s="12" t="str">
        <f aca="false">IF(AN263="","",AN263/8)</f>
        <v/>
      </c>
      <c r="AR263" s="11" t="str">
        <f aca="false">IF(A263="","",IF(OR(F263=1,G263=1,AND(E263&lt;&gt;"",E263&lt;=2)),2,IF(AND(E263&gt;=3,G263=2,OR(F263=2,F263=3)),1,"")))</f>
        <v/>
      </c>
      <c r="AS263" s="11" t="str">
        <f aca="false">IF(AR263=1,"טיפוסי",IF(AR263=2,"מתקשה",""))</f>
        <v/>
      </c>
      <c r="AT263" s="12" t="str">
        <f aca="false">IF(AR263=1,AO263,"")</f>
        <v/>
      </c>
      <c r="AU263" s="12" t="str">
        <f aca="false">IF(AR263=2,AO263,"")</f>
        <v/>
      </c>
      <c r="AV263" s="12" t="str">
        <f aca="false">IF(AR263=1,AP263,"")</f>
        <v/>
      </c>
      <c r="AW263" s="12" t="str">
        <f aca="false">IF(AR263=2,AP263,"")</f>
        <v/>
      </c>
      <c r="AX263" s="12" t="str">
        <f aca="false">IF(AR263=1,AQ263,"")</f>
        <v/>
      </c>
      <c r="AY263" s="12" t="str">
        <f aca="false">IF(AR263=2,AQ263,"")</f>
        <v/>
      </c>
    </row>
    <row r="264" customFormat="false" ht="15" hidden="false" customHeight="true" outlineLevel="0" collapsed="false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1" t="str">
        <f aca="false">IF(V264="","",6-V264)</f>
        <v/>
      </c>
      <c r="AI264" s="11" t="str">
        <f aca="false">IF(W264="","",6-W264)</f>
        <v/>
      </c>
      <c r="AJ264" s="11" t="str">
        <f aca="false">IF(X264="","",6-X264)</f>
        <v/>
      </c>
      <c r="AK264" s="11" t="str">
        <f aca="false">IF(Y264="","",6-Y264)</f>
        <v/>
      </c>
      <c r="AL264" s="11" t="str">
        <f aca="false">IF(COUNT(H264:O264)=8,SUM(H264:O264),"")</f>
        <v/>
      </c>
      <c r="AM264" s="11" t="str">
        <f aca="false">IF(COUNT(P264:U264,AH264:AK264)=10,SUM(P264:U264,AH264:AK264),"")</f>
        <v/>
      </c>
      <c r="AN264" s="11" t="str">
        <f aca="false">IF(COUNT(Z264:AG264)=8,SUM(Z264:AG264),"")</f>
        <v/>
      </c>
      <c r="AO264" s="12" t="str">
        <f aca="false">IF(AL264="","",AL264/8)</f>
        <v/>
      </c>
      <c r="AP264" s="12" t="str">
        <f aca="false">IF(AM264="","",AM264/10)</f>
        <v/>
      </c>
      <c r="AQ264" s="12" t="str">
        <f aca="false">IF(AN264="","",AN264/8)</f>
        <v/>
      </c>
      <c r="AR264" s="11" t="str">
        <f aca="false">IF(A264="","",IF(OR(F264=1,G264=1,AND(E264&lt;&gt;"",E264&lt;=2)),2,IF(AND(E264&gt;=3,G264=2,OR(F264=2,F264=3)),1,"")))</f>
        <v/>
      </c>
      <c r="AS264" s="11" t="str">
        <f aca="false">IF(AR264=1,"טיפוסי",IF(AR264=2,"מתקשה",""))</f>
        <v/>
      </c>
      <c r="AT264" s="12" t="str">
        <f aca="false">IF(AR264=1,AO264,"")</f>
        <v/>
      </c>
      <c r="AU264" s="12" t="str">
        <f aca="false">IF(AR264=2,AO264,"")</f>
        <v/>
      </c>
      <c r="AV264" s="12" t="str">
        <f aca="false">IF(AR264=1,AP264,"")</f>
        <v/>
      </c>
      <c r="AW264" s="12" t="str">
        <f aca="false">IF(AR264=2,AP264,"")</f>
        <v/>
      </c>
      <c r="AX264" s="12" t="str">
        <f aca="false">IF(AR264=1,AQ264,"")</f>
        <v/>
      </c>
      <c r="AY264" s="12" t="str">
        <f aca="false">IF(AR264=2,AQ264,"")</f>
        <v/>
      </c>
    </row>
    <row r="265" customFormat="false" ht="15" hidden="false" customHeight="tru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1" t="str">
        <f aca="false">IF(V265="","",6-V265)</f>
        <v/>
      </c>
      <c r="AI265" s="11" t="str">
        <f aca="false">IF(W265="","",6-W265)</f>
        <v/>
      </c>
      <c r="AJ265" s="11" t="str">
        <f aca="false">IF(X265="","",6-X265)</f>
        <v/>
      </c>
      <c r="AK265" s="11" t="str">
        <f aca="false">IF(Y265="","",6-Y265)</f>
        <v/>
      </c>
      <c r="AL265" s="11" t="str">
        <f aca="false">IF(COUNT(H265:O265)=8,SUM(H265:O265),"")</f>
        <v/>
      </c>
      <c r="AM265" s="11" t="str">
        <f aca="false">IF(COUNT(P265:U265,AH265:AK265)=10,SUM(P265:U265,AH265:AK265),"")</f>
        <v/>
      </c>
      <c r="AN265" s="11" t="str">
        <f aca="false">IF(COUNT(Z265:AG265)=8,SUM(Z265:AG265),"")</f>
        <v/>
      </c>
      <c r="AO265" s="12" t="str">
        <f aca="false">IF(AL265="","",AL265/8)</f>
        <v/>
      </c>
      <c r="AP265" s="12" t="str">
        <f aca="false">IF(AM265="","",AM265/10)</f>
        <v/>
      </c>
      <c r="AQ265" s="12" t="str">
        <f aca="false">IF(AN265="","",AN265/8)</f>
        <v/>
      </c>
      <c r="AR265" s="11" t="str">
        <f aca="false">IF(A265="","",IF(OR(F265=1,G265=1,AND(E265&lt;&gt;"",E265&lt;=2)),2,IF(AND(E265&gt;=3,G265=2,OR(F265=2,F265=3)),1,"")))</f>
        <v/>
      </c>
      <c r="AS265" s="11" t="str">
        <f aca="false">IF(AR265=1,"טיפוסי",IF(AR265=2,"מתקשה",""))</f>
        <v/>
      </c>
      <c r="AT265" s="12" t="str">
        <f aca="false">IF(AR265=1,AO265,"")</f>
        <v/>
      </c>
      <c r="AU265" s="12" t="str">
        <f aca="false">IF(AR265=2,AO265,"")</f>
        <v/>
      </c>
      <c r="AV265" s="12" t="str">
        <f aca="false">IF(AR265=1,AP265,"")</f>
        <v/>
      </c>
      <c r="AW265" s="12" t="str">
        <f aca="false">IF(AR265=2,AP265,"")</f>
        <v/>
      </c>
      <c r="AX265" s="12" t="str">
        <f aca="false">IF(AR265=1,AQ265,"")</f>
        <v/>
      </c>
      <c r="AY265" s="12" t="str">
        <f aca="false">IF(AR265=2,AQ265,"")</f>
        <v/>
      </c>
    </row>
    <row r="266" customFormat="false" ht="15" hidden="false" customHeight="true" outlineLevel="0" collapsed="false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1" t="str">
        <f aca="false">IF(V266="","",6-V266)</f>
        <v/>
      </c>
      <c r="AI266" s="11" t="str">
        <f aca="false">IF(W266="","",6-W266)</f>
        <v/>
      </c>
      <c r="AJ266" s="11" t="str">
        <f aca="false">IF(X266="","",6-X266)</f>
        <v/>
      </c>
      <c r="AK266" s="11" t="str">
        <f aca="false">IF(Y266="","",6-Y266)</f>
        <v/>
      </c>
      <c r="AL266" s="11" t="str">
        <f aca="false">IF(COUNT(H266:O266)=8,SUM(H266:O266),"")</f>
        <v/>
      </c>
      <c r="AM266" s="11" t="str">
        <f aca="false">IF(COUNT(P266:U266,AH266:AK266)=10,SUM(P266:U266,AH266:AK266),"")</f>
        <v/>
      </c>
      <c r="AN266" s="11" t="str">
        <f aca="false">IF(COUNT(Z266:AG266)=8,SUM(Z266:AG266),"")</f>
        <v/>
      </c>
      <c r="AO266" s="12" t="str">
        <f aca="false">IF(AL266="","",AL266/8)</f>
        <v/>
      </c>
      <c r="AP266" s="12" t="str">
        <f aca="false">IF(AM266="","",AM266/10)</f>
        <v/>
      </c>
      <c r="AQ266" s="12" t="str">
        <f aca="false">IF(AN266="","",AN266/8)</f>
        <v/>
      </c>
      <c r="AR266" s="11" t="str">
        <f aca="false">IF(A266="","",IF(OR(F266=1,G266=1,AND(E266&lt;&gt;"",E266&lt;=2)),2,IF(AND(E266&gt;=3,G266=2,OR(F266=2,F266=3)),1,"")))</f>
        <v/>
      </c>
      <c r="AS266" s="11" t="str">
        <f aca="false">IF(AR266=1,"טיפוסי",IF(AR266=2,"מתקשה",""))</f>
        <v/>
      </c>
      <c r="AT266" s="12" t="str">
        <f aca="false">IF(AR266=1,AO266,"")</f>
        <v/>
      </c>
      <c r="AU266" s="12" t="str">
        <f aca="false">IF(AR266=2,AO266,"")</f>
        <v/>
      </c>
      <c r="AV266" s="12" t="str">
        <f aca="false">IF(AR266=1,AP266,"")</f>
        <v/>
      </c>
      <c r="AW266" s="12" t="str">
        <f aca="false">IF(AR266=2,AP266,"")</f>
        <v/>
      </c>
      <c r="AX266" s="12" t="str">
        <f aca="false">IF(AR266=1,AQ266,"")</f>
        <v/>
      </c>
      <c r="AY266" s="12" t="str">
        <f aca="false">IF(AR266=2,AQ266,"")</f>
        <v/>
      </c>
    </row>
    <row r="267" customFormat="false" ht="15" hidden="false" customHeight="true" outlineLevel="0" collapsed="false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1" t="str">
        <f aca="false">IF(V267="","",6-V267)</f>
        <v/>
      </c>
      <c r="AI267" s="11" t="str">
        <f aca="false">IF(W267="","",6-W267)</f>
        <v/>
      </c>
      <c r="AJ267" s="11" t="str">
        <f aca="false">IF(X267="","",6-X267)</f>
        <v/>
      </c>
      <c r="AK267" s="11" t="str">
        <f aca="false">IF(Y267="","",6-Y267)</f>
        <v/>
      </c>
      <c r="AL267" s="11" t="str">
        <f aca="false">IF(COUNT(H267:O267)=8,SUM(H267:O267),"")</f>
        <v/>
      </c>
      <c r="AM267" s="11" t="str">
        <f aca="false">IF(COUNT(P267:U267,AH267:AK267)=10,SUM(P267:U267,AH267:AK267),"")</f>
        <v/>
      </c>
      <c r="AN267" s="11" t="str">
        <f aca="false">IF(COUNT(Z267:AG267)=8,SUM(Z267:AG267),"")</f>
        <v/>
      </c>
      <c r="AO267" s="12" t="str">
        <f aca="false">IF(AL267="","",AL267/8)</f>
        <v/>
      </c>
      <c r="AP267" s="12" t="str">
        <f aca="false">IF(AM267="","",AM267/10)</f>
        <v/>
      </c>
      <c r="AQ267" s="12" t="str">
        <f aca="false">IF(AN267="","",AN267/8)</f>
        <v/>
      </c>
      <c r="AR267" s="11" t="str">
        <f aca="false">IF(A267="","",IF(OR(F267=1,G267=1,AND(E267&lt;&gt;"",E267&lt;=2)),2,IF(AND(E267&gt;=3,G267=2,OR(F267=2,F267=3)),1,"")))</f>
        <v/>
      </c>
      <c r="AS267" s="11" t="str">
        <f aca="false">IF(AR267=1,"טיפוסי",IF(AR267=2,"מתקשה",""))</f>
        <v/>
      </c>
      <c r="AT267" s="12" t="str">
        <f aca="false">IF(AR267=1,AO267,"")</f>
        <v/>
      </c>
      <c r="AU267" s="12" t="str">
        <f aca="false">IF(AR267=2,AO267,"")</f>
        <v/>
      </c>
      <c r="AV267" s="12" t="str">
        <f aca="false">IF(AR267=1,AP267,"")</f>
        <v/>
      </c>
      <c r="AW267" s="12" t="str">
        <f aca="false">IF(AR267=2,AP267,"")</f>
        <v/>
      </c>
      <c r="AX267" s="12" t="str">
        <f aca="false">IF(AR267=1,AQ267,"")</f>
        <v/>
      </c>
      <c r="AY267" s="12" t="str">
        <f aca="false">IF(AR267=2,AQ267,"")</f>
        <v/>
      </c>
    </row>
    <row r="268" customFormat="false" ht="15" hidden="false" customHeight="true" outlineLevel="0" collapsed="false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1" t="str">
        <f aca="false">IF(V268="","",6-V268)</f>
        <v/>
      </c>
      <c r="AI268" s="11" t="str">
        <f aca="false">IF(W268="","",6-W268)</f>
        <v/>
      </c>
      <c r="AJ268" s="11" t="str">
        <f aca="false">IF(X268="","",6-X268)</f>
        <v/>
      </c>
      <c r="AK268" s="11" t="str">
        <f aca="false">IF(Y268="","",6-Y268)</f>
        <v/>
      </c>
      <c r="AL268" s="11" t="str">
        <f aca="false">IF(COUNT(H268:O268)=8,SUM(H268:O268),"")</f>
        <v/>
      </c>
      <c r="AM268" s="11" t="str">
        <f aca="false">IF(COUNT(P268:U268,AH268:AK268)=10,SUM(P268:U268,AH268:AK268),"")</f>
        <v/>
      </c>
      <c r="AN268" s="11" t="str">
        <f aca="false">IF(COUNT(Z268:AG268)=8,SUM(Z268:AG268),"")</f>
        <v/>
      </c>
      <c r="AO268" s="12" t="str">
        <f aca="false">IF(AL268="","",AL268/8)</f>
        <v/>
      </c>
      <c r="AP268" s="12" t="str">
        <f aca="false">IF(AM268="","",AM268/10)</f>
        <v/>
      </c>
      <c r="AQ268" s="12" t="str">
        <f aca="false">IF(AN268="","",AN268/8)</f>
        <v/>
      </c>
      <c r="AR268" s="11" t="str">
        <f aca="false">IF(A268="","",IF(OR(F268=1,G268=1,AND(E268&lt;&gt;"",E268&lt;=2)),2,IF(AND(E268&gt;=3,G268=2,OR(F268=2,F268=3)),1,"")))</f>
        <v/>
      </c>
      <c r="AS268" s="11" t="str">
        <f aca="false">IF(AR268=1,"טיפוסי",IF(AR268=2,"מתקשה",""))</f>
        <v/>
      </c>
      <c r="AT268" s="12" t="str">
        <f aca="false">IF(AR268=1,AO268,"")</f>
        <v/>
      </c>
      <c r="AU268" s="12" t="str">
        <f aca="false">IF(AR268=2,AO268,"")</f>
        <v/>
      </c>
      <c r="AV268" s="12" t="str">
        <f aca="false">IF(AR268=1,AP268,"")</f>
        <v/>
      </c>
      <c r="AW268" s="12" t="str">
        <f aca="false">IF(AR268=2,AP268,"")</f>
        <v/>
      </c>
      <c r="AX268" s="12" t="str">
        <f aca="false">IF(AR268=1,AQ268,"")</f>
        <v/>
      </c>
      <c r="AY268" s="12" t="str">
        <f aca="false">IF(AR268=2,AQ268,"")</f>
        <v/>
      </c>
    </row>
    <row r="269" customFormat="false" ht="15" hidden="false" customHeight="true" outlineLevel="0" collapsed="false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1" t="str">
        <f aca="false">IF(V269="","",6-V269)</f>
        <v/>
      </c>
      <c r="AI269" s="11" t="str">
        <f aca="false">IF(W269="","",6-W269)</f>
        <v/>
      </c>
      <c r="AJ269" s="11" t="str">
        <f aca="false">IF(X269="","",6-X269)</f>
        <v/>
      </c>
      <c r="AK269" s="11" t="str">
        <f aca="false">IF(Y269="","",6-Y269)</f>
        <v/>
      </c>
      <c r="AL269" s="11" t="str">
        <f aca="false">IF(COUNT(H269:O269)=8,SUM(H269:O269),"")</f>
        <v/>
      </c>
      <c r="AM269" s="11" t="str">
        <f aca="false">IF(COUNT(P269:U269,AH269:AK269)=10,SUM(P269:U269,AH269:AK269),"")</f>
        <v/>
      </c>
      <c r="AN269" s="11" t="str">
        <f aca="false">IF(COUNT(Z269:AG269)=8,SUM(Z269:AG269),"")</f>
        <v/>
      </c>
      <c r="AO269" s="12" t="str">
        <f aca="false">IF(AL269="","",AL269/8)</f>
        <v/>
      </c>
      <c r="AP269" s="12" t="str">
        <f aca="false">IF(AM269="","",AM269/10)</f>
        <v/>
      </c>
      <c r="AQ269" s="12" t="str">
        <f aca="false">IF(AN269="","",AN269/8)</f>
        <v/>
      </c>
      <c r="AR269" s="11" t="str">
        <f aca="false">IF(A269="","",IF(OR(F269=1,G269=1,AND(E269&lt;&gt;"",E269&lt;=2)),2,IF(AND(E269&gt;=3,G269=2,OR(F269=2,F269=3)),1,"")))</f>
        <v/>
      </c>
      <c r="AS269" s="11" t="str">
        <f aca="false">IF(AR269=1,"טיפוסי",IF(AR269=2,"מתקשה",""))</f>
        <v/>
      </c>
      <c r="AT269" s="12" t="str">
        <f aca="false">IF(AR269=1,AO269,"")</f>
        <v/>
      </c>
      <c r="AU269" s="12" t="str">
        <f aca="false">IF(AR269=2,AO269,"")</f>
        <v/>
      </c>
      <c r="AV269" s="12" t="str">
        <f aca="false">IF(AR269=1,AP269,"")</f>
        <v/>
      </c>
      <c r="AW269" s="12" t="str">
        <f aca="false">IF(AR269=2,AP269,"")</f>
        <v/>
      </c>
      <c r="AX269" s="12" t="str">
        <f aca="false">IF(AR269=1,AQ269,"")</f>
        <v/>
      </c>
      <c r="AY269" s="12" t="str">
        <f aca="false">IF(AR269=2,AQ269,"")</f>
        <v/>
      </c>
    </row>
    <row r="270" customFormat="false" ht="15" hidden="false" customHeight="true" outlineLevel="0" collapsed="false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1" t="str">
        <f aca="false">IF(V270="","",6-V270)</f>
        <v/>
      </c>
      <c r="AI270" s="11" t="str">
        <f aca="false">IF(W270="","",6-W270)</f>
        <v/>
      </c>
      <c r="AJ270" s="11" t="str">
        <f aca="false">IF(X270="","",6-X270)</f>
        <v/>
      </c>
      <c r="AK270" s="11" t="str">
        <f aca="false">IF(Y270="","",6-Y270)</f>
        <v/>
      </c>
      <c r="AL270" s="11" t="str">
        <f aca="false">IF(COUNT(H270:O270)=8,SUM(H270:O270),"")</f>
        <v/>
      </c>
      <c r="AM270" s="11" t="str">
        <f aca="false">IF(COUNT(P270:U270,AH270:AK270)=10,SUM(P270:U270,AH270:AK270),"")</f>
        <v/>
      </c>
      <c r="AN270" s="11" t="str">
        <f aca="false">IF(COUNT(Z270:AG270)=8,SUM(Z270:AG270),"")</f>
        <v/>
      </c>
      <c r="AO270" s="12" t="str">
        <f aca="false">IF(AL270="","",AL270/8)</f>
        <v/>
      </c>
      <c r="AP270" s="12" t="str">
        <f aca="false">IF(AM270="","",AM270/10)</f>
        <v/>
      </c>
      <c r="AQ270" s="12" t="str">
        <f aca="false">IF(AN270="","",AN270/8)</f>
        <v/>
      </c>
      <c r="AR270" s="11" t="str">
        <f aca="false">IF(A270="","",IF(OR(F270=1,G270=1,AND(E270&lt;&gt;"",E270&lt;=2)),2,IF(AND(E270&gt;=3,G270=2,OR(F270=2,F270=3)),1,"")))</f>
        <v/>
      </c>
      <c r="AS270" s="11" t="str">
        <f aca="false">IF(AR270=1,"טיפוסי",IF(AR270=2,"מתקשה",""))</f>
        <v/>
      </c>
      <c r="AT270" s="12" t="str">
        <f aca="false">IF(AR270=1,AO270,"")</f>
        <v/>
      </c>
      <c r="AU270" s="12" t="str">
        <f aca="false">IF(AR270=2,AO270,"")</f>
        <v/>
      </c>
      <c r="AV270" s="12" t="str">
        <f aca="false">IF(AR270=1,AP270,"")</f>
        <v/>
      </c>
      <c r="AW270" s="12" t="str">
        <f aca="false">IF(AR270=2,AP270,"")</f>
        <v/>
      </c>
      <c r="AX270" s="12" t="str">
        <f aca="false">IF(AR270=1,AQ270,"")</f>
        <v/>
      </c>
      <c r="AY270" s="12" t="str">
        <f aca="false">IF(AR270=2,AQ270,"")</f>
        <v/>
      </c>
    </row>
    <row r="271" customFormat="false" ht="15" hidden="false" customHeight="true" outlineLevel="0" collapsed="false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1" t="str">
        <f aca="false">IF(V271="","",6-V271)</f>
        <v/>
      </c>
      <c r="AI271" s="11" t="str">
        <f aca="false">IF(W271="","",6-W271)</f>
        <v/>
      </c>
      <c r="AJ271" s="11" t="str">
        <f aca="false">IF(X271="","",6-X271)</f>
        <v/>
      </c>
      <c r="AK271" s="11" t="str">
        <f aca="false">IF(Y271="","",6-Y271)</f>
        <v/>
      </c>
      <c r="AL271" s="11" t="str">
        <f aca="false">IF(COUNT(H271:O271)=8,SUM(H271:O271),"")</f>
        <v/>
      </c>
      <c r="AM271" s="11" t="str">
        <f aca="false">IF(COUNT(P271:U271,AH271:AK271)=10,SUM(P271:U271,AH271:AK271),"")</f>
        <v/>
      </c>
      <c r="AN271" s="11" t="str">
        <f aca="false">IF(COUNT(Z271:AG271)=8,SUM(Z271:AG271),"")</f>
        <v/>
      </c>
      <c r="AO271" s="12" t="str">
        <f aca="false">IF(AL271="","",AL271/8)</f>
        <v/>
      </c>
      <c r="AP271" s="12" t="str">
        <f aca="false">IF(AM271="","",AM271/10)</f>
        <v/>
      </c>
      <c r="AQ271" s="12" t="str">
        <f aca="false">IF(AN271="","",AN271/8)</f>
        <v/>
      </c>
      <c r="AR271" s="11" t="str">
        <f aca="false">IF(A271="","",IF(OR(F271=1,G271=1,AND(E271&lt;&gt;"",E271&lt;=2)),2,IF(AND(E271&gt;=3,G271=2,OR(F271=2,F271=3)),1,"")))</f>
        <v/>
      </c>
      <c r="AS271" s="11" t="str">
        <f aca="false">IF(AR271=1,"טיפוסי",IF(AR271=2,"מתקשה",""))</f>
        <v/>
      </c>
      <c r="AT271" s="12" t="str">
        <f aca="false">IF(AR271=1,AO271,"")</f>
        <v/>
      </c>
      <c r="AU271" s="12" t="str">
        <f aca="false">IF(AR271=2,AO271,"")</f>
        <v/>
      </c>
      <c r="AV271" s="12" t="str">
        <f aca="false">IF(AR271=1,AP271,"")</f>
        <v/>
      </c>
      <c r="AW271" s="12" t="str">
        <f aca="false">IF(AR271=2,AP271,"")</f>
        <v/>
      </c>
      <c r="AX271" s="12" t="str">
        <f aca="false">IF(AR271=1,AQ271,"")</f>
        <v/>
      </c>
      <c r="AY271" s="12" t="str">
        <f aca="false">IF(AR271=2,AQ271,"")</f>
        <v/>
      </c>
    </row>
    <row r="272" customFormat="false" ht="15" hidden="false" customHeight="true" outlineLevel="0" collapsed="false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1" t="str">
        <f aca="false">IF(V272="","",6-V272)</f>
        <v/>
      </c>
      <c r="AI272" s="11" t="str">
        <f aca="false">IF(W272="","",6-W272)</f>
        <v/>
      </c>
      <c r="AJ272" s="11" t="str">
        <f aca="false">IF(X272="","",6-X272)</f>
        <v/>
      </c>
      <c r="AK272" s="11" t="str">
        <f aca="false">IF(Y272="","",6-Y272)</f>
        <v/>
      </c>
      <c r="AL272" s="11" t="str">
        <f aca="false">IF(COUNT(H272:O272)=8,SUM(H272:O272),"")</f>
        <v/>
      </c>
      <c r="AM272" s="11" t="str">
        <f aca="false">IF(COUNT(P272:U272,AH272:AK272)=10,SUM(P272:U272,AH272:AK272),"")</f>
        <v/>
      </c>
      <c r="AN272" s="11" t="str">
        <f aca="false">IF(COUNT(Z272:AG272)=8,SUM(Z272:AG272),"")</f>
        <v/>
      </c>
      <c r="AO272" s="12" t="str">
        <f aca="false">IF(AL272="","",AL272/8)</f>
        <v/>
      </c>
      <c r="AP272" s="12" t="str">
        <f aca="false">IF(AM272="","",AM272/10)</f>
        <v/>
      </c>
      <c r="AQ272" s="12" t="str">
        <f aca="false">IF(AN272="","",AN272/8)</f>
        <v/>
      </c>
      <c r="AR272" s="11" t="str">
        <f aca="false">IF(A272="","",IF(OR(F272=1,G272=1,AND(E272&lt;&gt;"",E272&lt;=2)),2,IF(AND(E272&gt;=3,G272=2,OR(F272=2,F272=3)),1,"")))</f>
        <v/>
      </c>
      <c r="AS272" s="11" t="str">
        <f aca="false">IF(AR272=1,"טיפוסי",IF(AR272=2,"מתקשה",""))</f>
        <v/>
      </c>
      <c r="AT272" s="12" t="str">
        <f aca="false">IF(AR272=1,AO272,"")</f>
        <v/>
      </c>
      <c r="AU272" s="12" t="str">
        <f aca="false">IF(AR272=2,AO272,"")</f>
        <v/>
      </c>
      <c r="AV272" s="12" t="str">
        <f aca="false">IF(AR272=1,AP272,"")</f>
        <v/>
      </c>
      <c r="AW272" s="12" t="str">
        <f aca="false">IF(AR272=2,AP272,"")</f>
        <v/>
      </c>
      <c r="AX272" s="12" t="str">
        <f aca="false">IF(AR272=1,AQ272,"")</f>
        <v/>
      </c>
      <c r="AY272" s="12" t="str">
        <f aca="false">IF(AR272=2,AQ272,"")</f>
        <v/>
      </c>
    </row>
    <row r="273" customFormat="false" ht="15" hidden="false" customHeight="true" outlineLevel="0" collapsed="false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1" t="str">
        <f aca="false">IF(V273="","",6-V273)</f>
        <v/>
      </c>
      <c r="AI273" s="11" t="str">
        <f aca="false">IF(W273="","",6-W273)</f>
        <v/>
      </c>
      <c r="AJ273" s="11" t="str">
        <f aca="false">IF(X273="","",6-X273)</f>
        <v/>
      </c>
      <c r="AK273" s="11" t="str">
        <f aca="false">IF(Y273="","",6-Y273)</f>
        <v/>
      </c>
      <c r="AL273" s="11" t="str">
        <f aca="false">IF(COUNT(H273:O273)=8,SUM(H273:O273),"")</f>
        <v/>
      </c>
      <c r="AM273" s="11" t="str">
        <f aca="false">IF(COUNT(P273:U273,AH273:AK273)=10,SUM(P273:U273,AH273:AK273),"")</f>
        <v/>
      </c>
      <c r="AN273" s="11" t="str">
        <f aca="false">IF(COUNT(Z273:AG273)=8,SUM(Z273:AG273),"")</f>
        <v/>
      </c>
      <c r="AO273" s="12" t="str">
        <f aca="false">IF(AL273="","",AL273/8)</f>
        <v/>
      </c>
      <c r="AP273" s="12" t="str">
        <f aca="false">IF(AM273="","",AM273/10)</f>
        <v/>
      </c>
      <c r="AQ273" s="12" t="str">
        <f aca="false">IF(AN273="","",AN273/8)</f>
        <v/>
      </c>
      <c r="AR273" s="11" t="str">
        <f aca="false">IF(A273="","",IF(OR(F273=1,G273=1,AND(E273&lt;&gt;"",E273&lt;=2)),2,IF(AND(E273&gt;=3,G273=2,OR(F273=2,F273=3)),1,"")))</f>
        <v/>
      </c>
      <c r="AS273" s="11" t="str">
        <f aca="false">IF(AR273=1,"טיפוסי",IF(AR273=2,"מתקשה",""))</f>
        <v/>
      </c>
      <c r="AT273" s="12" t="str">
        <f aca="false">IF(AR273=1,AO273,"")</f>
        <v/>
      </c>
      <c r="AU273" s="12" t="str">
        <f aca="false">IF(AR273=2,AO273,"")</f>
        <v/>
      </c>
      <c r="AV273" s="12" t="str">
        <f aca="false">IF(AR273=1,AP273,"")</f>
        <v/>
      </c>
      <c r="AW273" s="12" t="str">
        <f aca="false">IF(AR273=2,AP273,"")</f>
        <v/>
      </c>
      <c r="AX273" s="12" t="str">
        <f aca="false">IF(AR273=1,AQ273,"")</f>
        <v/>
      </c>
      <c r="AY273" s="12" t="str">
        <f aca="false">IF(AR273=2,AQ273,"")</f>
        <v/>
      </c>
    </row>
    <row r="274" customFormat="false" ht="15" hidden="false" customHeight="true" outlineLevel="0" collapsed="false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1" t="str">
        <f aca="false">IF(V274="","",6-V274)</f>
        <v/>
      </c>
      <c r="AI274" s="11" t="str">
        <f aca="false">IF(W274="","",6-W274)</f>
        <v/>
      </c>
      <c r="AJ274" s="11" t="str">
        <f aca="false">IF(X274="","",6-X274)</f>
        <v/>
      </c>
      <c r="AK274" s="11" t="str">
        <f aca="false">IF(Y274="","",6-Y274)</f>
        <v/>
      </c>
      <c r="AL274" s="11" t="str">
        <f aca="false">IF(COUNT(H274:O274)=8,SUM(H274:O274),"")</f>
        <v/>
      </c>
      <c r="AM274" s="11" t="str">
        <f aca="false">IF(COUNT(P274:U274,AH274:AK274)=10,SUM(P274:U274,AH274:AK274),"")</f>
        <v/>
      </c>
      <c r="AN274" s="11" t="str">
        <f aca="false">IF(COUNT(Z274:AG274)=8,SUM(Z274:AG274),"")</f>
        <v/>
      </c>
      <c r="AO274" s="12" t="str">
        <f aca="false">IF(AL274="","",AL274/8)</f>
        <v/>
      </c>
      <c r="AP274" s="12" t="str">
        <f aca="false">IF(AM274="","",AM274/10)</f>
        <v/>
      </c>
      <c r="AQ274" s="12" t="str">
        <f aca="false">IF(AN274="","",AN274/8)</f>
        <v/>
      </c>
      <c r="AR274" s="11" t="str">
        <f aca="false">IF(A274="","",IF(OR(F274=1,G274=1,AND(E274&lt;&gt;"",E274&lt;=2)),2,IF(AND(E274&gt;=3,G274=2,OR(F274=2,F274=3)),1,"")))</f>
        <v/>
      </c>
      <c r="AS274" s="11" t="str">
        <f aca="false">IF(AR274=1,"טיפוסי",IF(AR274=2,"מתקשה",""))</f>
        <v/>
      </c>
      <c r="AT274" s="12" t="str">
        <f aca="false">IF(AR274=1,AO274,"")</f>
        <v/>
      </c>
      <c r="AU274" s="12" t="str">
        <f aca="false">IF(AR274=2,AO274,"")</f>
        <v/>
      </c>
      <c r="AV274" s="12" t="str">
        <f aca="false">IF(AR274=1,AP274,"")</f>
        <v/>
      </c>
      <c r="AW274" s="12" t="str">
        <f aca="false">IF(AR274=2,AP274,"")</f>
        <v/>
      </c>
      <c r="AX274" s="12" t="str">
        <f aca="false">IF(AR274=1,AQ274,"")</f>
        <v/>
      </c>
      <c r="AY274" s="12" t="str">
        <f aca="false">IF(AR274=2,AQ274,"")</f>
        <v/>
      </c>
    </row>
    <row r="275" customFormat="false" ht="15" hidden="false" customHeight="true" outlineLevel="0" collapsed="false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1" t="str">
        <f aca="false">IF(V275="","",6-V275)</f>
        <v/>
      </c>
      <c r="AI275" s="11" t="str">
        <f aca="false">IF(W275="","",6-W275)</f>
        <v/>
      </c>
      <c r="AJ275" s="11" t="str">
        <f aca="false">IF(X275="","",6-X275)</f>
        <v/>
      </c>
      <c r="AK275" s="11" t="str">
        <f aca="false">IF(Y275="","",6-Y275)</f>
        <v/>
      </c>
      <c r="AL275" s="11" t="str">
        <f aca="false">IF(COUNT(H275:O275)=8,SUM(H275:O275),"")</f>
        <v/>
      </c>
      <c r="AM275" s="11" t="str">
        <f aca="false">IF(COUNT(P275:U275,AH275:AK275)=10,SUM(P275:U275,AH275:AK275),"")</f>
        <v/>
      </c>
      <c r="AN275" s="11" t="str">
        <f aca="false">IF(COUNT(Z275:AG275)=8,SUM(Z275:AG275),"")</f>
        <v/>
      </c>
      <c r="AO275" s="12" t="str">
        <f aca="false">IF(AL275="","",AL275/8)</f>
        <v/>
      </c>
      <c r="AP275" s="12" t="str">
        <f aca="false">IF(AM275="","",AM275/10)</f>
        <v/>
      </c>
      <c r="AQ275" s="12" t="str">
        <f aca="false">IF(AN275="","",AN275/8)</f>
        <v/>
      </c>
      <c r="AR275" s="11" t="str">
        <f aca="false">IF(A275="","",IF(OR(F275=1,G275=1,AND(E275&lt;&gt;"",E275&lt;=2)),2,IF(AND(E275&gt;=3,G275=2,OR(F275=2,F275=3)),1,"")))</f>
        <v/>
      </c>
      <c r="AS275" s="11" t="str">
        <f aca="false">IF(AR275=1,"טיפוסי",IF(AR275=2,"מתקשה",""))</f>
        <v/>
      </c>
      <c r="AT275" s="12" t="str">
        <f aca="false">IF(AR275=1,AO275,"")</f>
        <v/>
      </c>
      <c r="AU275" s="12" t="str">
        <f aca="false">IF(AR275=2,AO275,"")</f>
        <v/>
      </c>
      <c r="AV275" s="12" t="str">
        <f aca="false">IF(AR275=1,AP275,"")</f>
        <v/>
      </c>
      <c r="AW275" s="12" t="str">
        <f aca="false">IF(AR275=2,AP275,"")</f>
        <v/>
      </c>
      <c r="AX275" s="12" t="str">
        <f aca="false">IF(AR275=1,AQ275,"")</f>
        <v/>
      </c>
      <c r="AY275" s="12" t="str">
        <f aca="false">IF(AR275=2,AQ275,"")</f>
        <v/>
      </c>
    </row>
    <row r="276" customFormat="false" ht="15" hidden="false" customHeight="true" outlineLevel="0" collapsed="false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1" t="str">
        <f aca="false">IF(V276="","",6-V276)</f>
        <v/>
      </c>
      <c r="AI276" s="11" t="str">
        <f aca="false">IF(W276="","",6-W276)</f>
        <v/>
      </c>
      <c r="AJ276" s="11" t="str">
        <f aca="false">IF(X276="","",6-X276)</f>
        <v/>
      </c>
      <c r="AK276" s="11" t="str">
        <f aca="false">IF(Y276="","",6-Y276)</f>
        <v/>
      </c>
      <c r="AL276" s="11" t="str">
        <f aca="false">IF(COUNT(H276:O276)=8,SUM(H276:O276),"")</f>
        <v/>
      </c>
      <c r="AM276" s="11" t="str">
        <f aca="false">IF(COUNT(P276:U276,AH276:AK276)=10,SUM(P276:U276,AH276:AK276),"")</f>
        <v/>
      </c>
      <c r="AN276" s="11" t="str">
        <f aca="false">IF(COUNT(Z276:AG276)=8,SUM(Z276:AG276),"")</f>
        <v/>
      </c>
      <c r="AO276" s="12" t="str">
        <f aca="false">IF(AL276="","",AL276/8)</f>
        <v/>
      </c>
      <c r="AP276" s="12" t="str">
        <f aca="false">IF(AM276="","",AM276/10)</f>
        <v/>
      </c>
      <c r="AQ276" s="12" t="str">
        <f aca="false">IF(AN276="","",AN276/8)</f>
        <v/>
      </c>
      <c r="AR276" s="11" t="str">
        <f aca="false">IF(A276="","",IF(OR(F276=1,G276=1,AND(E276&lt;&gt;"",E276&lt;=2)),2,IF(AND(E276&gt;=3,G276=2,OR(F276=2,F276=3)),1,"")))</f>
        <v/>
      </c>
      <c r="AS276" s="11" t="str">
        <f aca="false">IF(AR276=1,"טיפוסי",IF(AR276=2,"מתקשה",""))</f>
        <v/>
      </c>
      <c r="AT276" s="12" t="str">
        <f aca="false">IF(AR276=1,AO276,"")</f>
        <v/>
      </c>
      <c r="AU276" s="12" t="str">
        <f aca="false">IF(AR276=2,AO276,"")</f>
        <v/>
      </c>
      <c r="AV276" s="12" t="str">
        <f aca="false">IF(AR276=1,AP276,"")</f>
        <v/>
      </c>
      <c r="AW276" s="12" t="str">
        <f aca="false">IF(AR276=2,AP276,"")</f>
        <v/>
      </c>
      <c r="AX276" s="12" t="str">
        <f aca="false">IF(AR276=1,AQ276,"")</f>
        <v/>
      </c>
      <c r="AY276" s="12" t="str">
        <f aca="false">IF(AR276=2,AQ276,"")</f>
        <v/>
      </c>
    </row>
    <row r="277" customFormat="false" ht="15" hidden="false" customHeight="true" outlineLevel="0" collapsed="false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1" t="str">
        <f aca="false">IF(V277="","",6-V277)</f>
        <v/>
      </c>
      <c r="AI277" s="11" t="str">
        <f aca="false">IF(W277="","",6-W277)</f>
        <v/>
      </c>
      <c r="AJ277" s="11" t="str">
        <f aca="false">IF(X277="","",6-X277)</f>
        <v/>
      </c>
      <c r="AK277" s="11" t="str">
        <f aca="false">IF(Y277="","",6-Y277)</f>
        <v/>
      </c>
      <c r="AL277" s="11" t="str">
        <f aca="false">IF(COUNT(H277:O277)=8,SUM(H277:O277),"")</f>
        <v/>
      </c>
      <c r="AM277" s="11" t="str">
        <f aca="false">IF(COUNT(P277:U277,AH277:AK277)=10,SUM(P277:U277,AH277:AK277),"")</f>
        <v/>
      </c>
      <c r="AN277" s="11" t="str">
        <f aca="false">IF(COUNT(Z277:AG277)=8,SUM(Z277:AG277),"")</f>
        <v/>
      </c>
      <c r="AO277" s="12" t="str">
        <f aca="false">IF(AL277="","",AL277/8)</f>
        <v/>
      </c>
      <c r="AP277" s="12" t="str">
        <f aca="false">IF(AM277="","",AM277/10)</f>
        <v/>
      </c>
      <c r="AQ277" s="12" t="str">
        <f aca="false">IF(AN277="","",AN277/8)</f>
        <v/>
      </c>
      <c r="AR277" s="11" t="str">
        <f aca="false">IF(A277="","",IF(OR(F277=1,G277=1,AND(E277&lt;&gt;"",E277&lt;=2)),2,IF(AND(E277&gt;=3,G277=2,OR(F277=2,F277=3)),1,"")))</f>
        <v/>
      </c>
      <c r="AS277" s="11" t="str">
        <f aca="false">IF(AR277=1,"טיפוסי",IF(AR277=2,"מתקשה",""))</f>
        <v/>
      </c>
      <c r="AT277" s="12" t="str">
        <f aca="false">IF(AR277=1,AO277,"")</f>
        <v/>
      </c>
      <c r="AU277" s="12" t="str">
        <f aca="false">IF(AR277=2,AO277,"")</f>
        <v/>
      </c>
      <c r="AV277" s="12" t="str">
        <f aca="false">IF(AR277=1,AP277,"")</f>
        <v/>
      </c>
      <c r="AW277" s="12" t="str">
        <f aca="false">IF(AR277=2,AP277,"")</f>
        <v/>
      </c>
      <c r="AX277" s="12" t="str">
        <f aca="false">IF(AR277=1,AQ277,"")</f>
        <v/>
      </c>
      <c r="AY277" s="12" t="str">
        <f aca="false">IF(AR277=2,AQ277,"")</f>
        <v/>
      </c>
    </row>
    <row r="278" customFormat="false" ht="15" hidden="false" customHeight="true" outlineLevel="0" collapsed="false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1" t="str">
        <f aca="false">IF(V278="","",6-V278)</f>
        <v/>
      </c>
      <c r="AI278" s="11" t="str">
        <f aca="false">IF(W278="","",6-W278)</f>
        <v/>
      </c>
      <c r="AJ278" s="11" t="str">
        <f aca="false">IF(X278="","",6-X278)</f>
        <v/>
      </c>
      <c r="AK278" s="11" t="str">
        <f aca="false">IF(Y278="","",6-Y278)</f>
        <v/>
      </c>
      <c r="AL278" s="11" t="str">
        <f aca="false">IF(COUNT(H278:O278)=8,SUM(H278:O278),"")</f>
        <v/>
      </c>
      <c r="AM278" s="11" t="str">
        <f aca="false">IF(COUNT(P278:U278,AH278:AK278)=10,SUM(P278:U278,AH278:AK278),"")</f>
        <v/>
      </c>
      <c r="AN278" s="11" t="str">
        <f aca="false">IF(COUNT(Z278:AG278)=8,SUM(Z278:AG278),"")</f>
        <v/>
      </c>
      <c r="AO278" s="12" t="str">
        <f aca="false">IF(AL278="","",AL278/8)</f>
        <v/>
      </c>
      <c r="AP278" s="12" t="str">
        <f aca="false">IF(AM278="","",AM278/10)</f>
        <v/>
      </c>
      <c r="AQ278" s="12" t="str">
        <f aca="false">IF(AN278="","",AN278/8)</f>
        <v/>
      </c>
      <c r="AR278" s="11" t="str">
        <f aca="false">IF(A278="","",IF(OR(F278=1,G278=1,AND(E278&lt;&gt;"",E278&lt;=2)),2,IF(AND(E278&gt;=3,G278=2,OR(F278=2,F278=3)),1,"")))</f>
        <v/>
      </c>
      <c r="AS278" s="11" t="str">
        <f aca="false">IF(AR278=1,"טיפוסי",IF(AR278=2,"מתקשה",""))</f>
        <v/>
      </c>
      <c r="AT278" s="12" t="str">
        <f aca="false">IF(AR278=1,AO278,"")</f>
        <v/>
      </c>
      <c r="AU278" s="12" t="str">
        <f aca="false">IF(AR278=2,AO278,"")</f>
        <v/>
      </c>
      <c r="AV278" s="12" t="str">
        <f aca="false">IF(AR278=1,AP278,"")</f>
        <v/>
      </c>
      <c r="AW278" s="12" t="str">
        <f aca="false">IF(AR278=2,AP278,"")</f>
        <v/>
      </c>
      <c r="AX278" s="12" t="str">
        <f aca="false">IF(AR278=1,AQ278,"")</f>
        <v/>
      </c>
      <c r="AY278" s="12" t="str">
        <f aca="false">IF(AR278=2,AQ278,"")</f>
        <v/>
      </c>
    </row>
    <row r="279" customFormat="false" ht="15" hidden="false" customHeight="true" outlineLevel="0" collapsed="false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1" t="str">
        <f aca="false">IF(V279="","",6-V279)</f>
        <v/>
      </c>
      <c r="AI279" s="11" t="str">
        <f aca="false">IF(W279="","",6-W279)</f>
        <v/>
      </c>
      <c r="AJ279" s="11" t="str">
        <f aca="false">IF(X279="","",6-X279)</f>
        <v/>
      </c>
      <c r="AK279" s="11" t="str">
        <f aca="false">IF(Y279="","",6-Y279)</f>
        <v/>
      </c>
      <c r="AL279" s="11" t="str">
        <f aca="false">IF(COUNT(H279:O279)=8,SUM(H279:O279),"")</f>
        <v/>
      </c>
      <c r="AM279" s="11" t="str">
        <f aca="false">IF(COUNT(P279:U279,AH279:AK279)=10,SUM(P279:U279,AH279:AK279),"")</f>
        <v/>
      </c>
      <c r="AN279" s="11" t="str">
        <f aca="false">IF(COUNT(Z279:AG279)=8,SUM(Z279:AG279),"")</f>
        <v/>
      </c>
      <c r="AO279" s="12" t="str">
        <f aca="false">IF(AL279="","",AL279/8)</f>
        <v/>
      </c>
      <c r="AP279" s="12" t="str">
        <f aca="false">IF(AM279="","",AM279/10)</f>
        <v/>
      </c>
      <c r="AQ279" s="12" t="str">
        <f aca="false">IF(AN279="","",AN279/8)</f>
        <v/>
      </c>
      <c r="AR279" s="11" t="str">
        <f aca="false">IF(A279="","",IF(OR(F279=1,G279=1,AND(E279&lt;&gt;"",E279&lt;=2)),2,IF(AND(E279&gt;=3,G279=2,OR(F279=2,F279=3)),1,"")))</f>
        <v/>
      </c>
      <c r="AS279" s="11" t="str">
        <f aca="false">IF(AR279=1,"טיפוסי",IF(AR279=2,"מתקשה",""))</f>
        <v/>
      </c>
      <c r="AT279" s="12" t="str">
        <f aca="false">IF(AR279=1,AO279,"")</f>
        <v/>
      </c>
      <c r="AU279" s="12" t="str">
        <f aca="false">IF(AR279=2,AO279,"")</f>
        <v/>
      </c>
      <c r="AV279" s="12" t="str">
        <f aca="false">IF(AR279=1,AP279,"")</f>
        <v/>
      </c>
      <c r="AW279" s="12" t="str">
        <f aca="false">IF(AR279=2,AP279,"")</f>
        <v/>
      </c>
      <c r="AX279" s="12" t="str">
        <f aca="false">IF(AR279=1,AQ279,"")</f>
        <v/>
      </c>
      <c r="AY279" s="12" t="str">
        <f aca="false">IF(AR279=2,AQ279,"")</f>
        <v/>
      </c>
    </row>
    <row r="280" customFormat="false" ht="15" hidden="false" customHeight="true" outlineLevel="0" collapsed="false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1" t="str">
        <f aca="false">IF(V280="","",6-V280)</f>
        <v/>
      </c>
      <c r="AI280" s="11" t="str">
        <f aca="false">IF(W280="","",6-W280)</f>
        <v/>
      </c>
      <c r="AJ280" s="11" t="str">
        <f aca="false">IF(X280="","",6-X280)</f>
        <v/>
      </c>
      <c r="AK280" s="11" t="str">
        <f aca="false">IF(Y280="","",6-Y280)</f>
        <v/>
      </c>
      <c r="AL280" s="11" t="str">
        <f aca="false">IF(COUNT(H280:O280)=8,SUM(H280:O280),"")</f>
        <v/>
      </c>
      <c r="AM280" s="11" t="str">
        <f aca="false">IF(COUNT(P280:U280,AH280:AK280)=10,SUM(P280:U280,AH280:AK280),"")</f>
        <v/>
      </c>
      <c r="AN280" s="11" t="str">
        <f aca="false">IF(COUNT(Z280:AG280)=8,SUM(Z280:AG280),"")</f>
        <v/>
      </c>
      <c r="AO280" s="12" t="str">
        <f aca="false">IF(AL280="","",AL280/8)</f>
        <v/>
      </c>
      <c r="AP280" s="12" t="str">
        <f aca="false">IF(AM280="","",AM280/10)</f>
        <v/>
      </c>
      <c r="AQ280" s="12" t="str">
        <f aca="false">IF(AN280="","",AN280/8)</f>
        <v/>
      </c>
      <c r="AR280" s="11" t="str">
        <f aca="false">IF(A280="","",IF(OR(F280=1,G280=1,AND(E280&lt;&gt;"",E280&lt;=2)),2,IF(AND(E280&gt;=3,G280=2,OR(F280=2,F280=3)),1,"")))</f>
        <v/>
      </c>
      <c r="AS280" s="11" t="str">
        <f aca="false">IF(AR280=1,"טיפוסי",IF(AR280=2,"מתקשה",""))</f>
        <v/>
      </c>
      <c r="AT280" s="12" t="str">
        <f aca="false">IF(AR280=1,AO280,"")</f>
        <v/>
      </c>
      <c r="AU280" s="12" t="str">
        <f aca="false">IF(AR280=2,AO280,"")</f>
        <v/>
      </c>
      <c r="AV280" s="12" t="str">
        <f aca="false">IF(AR280=1,AP280,"")</f>
        <v/>
      </c>
      <c r="AW280" s="12" t="str">
        <f aca="false">IF(AR280=2,AP280,"")</f>
        <v/>
      </c>
      <c r="AX280" s="12" t="str">
        <f aca="false">IF(AR280=1,AQ280,"")</f>
        <v/>
      </c>
      <c r="AY280" s="12" t="str">
        <f aca="false">IF(AR280=2,AQ280,"")</f>
        <v/>
      </c>
    </row>
    <row r="281" customFormat="false" ht="15" hidden="false" customHeight="true" outlineLevel="0" collapsed="false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1" t="str">
        <f aca="false">IF(V281="","",6-V281)</f>
        <v/>
      </c>
      <c r="AI281" s="11" t="str">
        <f aca="false">IF(W281="","",6-W281)</f>
        <v/>
      </c>
      <c r="AJ281" s="11" t="str">
        <f aca="false">IF(X281="","",6-X281)</f>
        <v/>
      </c>
      <c r="AK281" s="11" t="str">
        <f aca="false">IF(Y281="","",6-Y281)</f>
        <v/>
      </c>
      <c r="AL281" s="11" t="str">
        <f aca="false">IF(COUNT(H281:O281)=8,SUM(H281:O281),"")</f>
        <v/>
      </c>
      <c r="AM281" s="11" t="str">
        <f aca="false">IF(COUNT(P281:U281,AH281:AK281)=10,SUM(P281:U281,AH281:AK281),"")</f>
        <v/>
      </c>
      <c r="AN281" s="11" t="str">
        <f aca="false">IF(COUNT(Z281:AG281)=8,SUM(Z281:AG281),"")</f>
        <v/>
      </c>
      <c r="AO281" s="12" t="str">
        <f aca="false">IF(AL281="","",AL281/8)</f>
        <v/>
      </c>
      <c r="AP281" s="12" t="str">
        <f aca="false">IF(AM281="","",AM281/10)</f>
        <v/>
      </c>
      <c r="AQ281" s="12" t="str">
        <f aca="false">IF(AN281="","",AN281/8)</f>
        <v/>
      </c>
      <c r="AR281" s="11" t="str">
        <f aca="false">IF(A281="","",IF(OR(F281=1,G281=1,AND(E281&lt;&gt;"",E281&lt;=2)),2,IF(AND(E281&gt;=3,G281=2,OR(F281=2,F281=3)),1,"")))</f>
        <v/>
      </c>
      <c r="AS281" s="11" t="str">
        <f aca="false">IF(AR281=1,"טיפוסי",IF(AR281=2,"מתקשה",""))</f>
        <v/>
      </c>
      <c r="AT281" s="12" t="str">
        <f aca="false">IF(AR281=1,AO281,"")</f>
        <v/>
      </c>
      <c r="AU281" s="12" t="str">
        <f aca="false">IF(AR281=2,AO281,"")</f>
        <v/>
      </c>
      <c r="AV281" s="12" t="str">
        <f aca="false">IF(AR281=1,AP281,"")</f>
        <v/>
      </c>
      <c r="AW281" s="12" t="str">
        <f aca="false">IF(AR281=2,AP281,"")</f>
        <v/>
      </c>
      <c r="AX281" s="12" t="str">
        <f aca="false">IF(AR281=1,AQ281,"")</f>
        <v/>
      </c>
      <c r="AY281" s="12" t="str">
        <f aca="false">IF(AR281=2,AQ281,"")</f>
        <v/>
      </c>
    </row>
    <row r="282" customFormat="false" ht="15" hidden="false" customHeight="true" outlineLevel="0" collapsed="false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1" t="str">
        <f aca="false">IF(V282="","",6-V282)</f>
        <v/>
      </c>
      <c r="AI282" s="11" t="str">
        <f aca="false">IF(W282="","",6-W282)</f>
        <v/>
      </c>
      <c r="AJ282" s="11" t="str">
        <f aca="false">IF(X282="","",6-X282)</f>
        <v/>
      </c>
      <c r="AK282" s="11" t="str">
        <f aca="false">IF(Y282="","",6-Y282)</f>
        <v/>
      </c>
      <c r="AL282" s="11" t="str">
        <f aca="false">IF(COUNT(H282:O282)=8,SUM(H282:O282),"")</f>
        <v/>
      </c>
      <c r="AM282" s="11" t="str">
        <f aca="false">IF(COUNT(P282:U282,AH282:AK282)=10,SUM(P282:U282,AH282:AK282),"")</f>
        <v/>
      </c>
      <c r="AN282" s="11" t="str">
        <f aca="false">IF(COUNT(Z282:AG282)=8,SUM(Z282:AG282),"")</f>
        <v/>
      </c>
      <c r="AO282" s="12" t="str">
        <f aca="false">IF(AL282="","",AL282/8)</f>
        <v/>
      </c>
      <c r="AP282" s="12" t="str">
        <f aca="false">IF(AM282="","",AM282/10)</f>
        <v/>
      </c>
      <c r="AQ282" s="12" t="str">
        <f aca="false">IF(AN282="","",AN282/8)</f>
        <v/>
      </c>
      <c r="AR282" s="11" t="str">
        <f aca="false">IF(A282="","",IF(OR(F282=1,G282=1,AND(E282&lt;&gt;"",E282&lt;=2)),2,IF(AND(E282&gt;=3,G282=2,OR(F282=2,F282=3)),1,"")))</f>
        <v/>
      </c>
      <c r="AS282" s="11" t="str">
        <f aca="false">IF(AR282=1,"טיפוסי",IF(AR282=2,"מתקשה",""))</f>
        <v/>
      </c>
      <c r="AT282" s="12" t="str">
        <f aca="false">IF(AR282=1,AO282,"")</f>
        <v/>
      </c>
      <c r="AU282" s="12" t="str">
        <f aca="false">IF(AR282=2,AO282,"")</f>
        <v/>
      </c>
      <c r="AV282" s="12" t="str">
        <f aca="false">IF(AR282=1,AP282,"")</f>
        <v/>
      </c>
      <c r="AW282" s="12" t="str">
        <f aca="false">IF(AR282=2,AP282,"")</f>
        <v/>
      </c>
      <c r="AX282" s="12" t="str">
        <f aca="false">IF(AR282=1,AQ282,"")</f>
        <v/>
      </c>
      <c r="AY282" s="12" t="str">
        <f aca="false">IF(AR282=2,AQ282,"")</f>
        <v/>
      </c>
    </row>
    <row r="283" customFormat="false" ht="15" hidden="false" customHeight="true" outlineLevel="0" collapsed="false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1" t="str">
        <f aca="false">IF(V283="","",6-V283)</f>
        <v/>
      </c>
      <c r="AI283" s="11" t="str">
        <f aca="false">IF(W283="","",6-W283)</f>
        <v/>
      </c>
      <c r="AJ283" s="11" t="str">
        <f aca="false">IF(X283="","",6-X283)</f>
        <v/>
      </c>
      <c r="AK283" s="11" t="str">
        <f aca="false">IF(Y283="","",6-Y283)</f>
        <v/>
      </c>
      <c r="AL283" s="11" t="str">
        <f aca="false">IF(COUNT(H283:O283)=8,SUM(H283:O283),"")</f>
        <v/>
      </c>
      <c r="AM283" s="11" t="str">
        <f aca="false">IF(COUNT(P283:U283,AH283:AK283)=10,SUM(P283:U283,AH283:AK283),"")</f>
        <v/>
      </c>
      <c r="AN283" s="11" t="str">
        <f aca="false">IF(COUNT(Z283:AG283)=8,SUM(Z283:AG283),"")</f>
        <v/>
      </c>
      <c r="AO283" s="12" t="str">
        <f aca="false">IF(AL283="","",AL283/8)</f>
        <v/>
      </c>
      <c r="AP283" s="12" t="str">
        <f aca="false">IF(AM283="","",AM283/10)</f>
        <v/>
      </c>
      <c r="AQ283" s="12" t="str">
        <f aca="false">IF(AN283="","",AN283/8)</f>
        <v/>
      </c>
      <c r="AR283" s="11" t="str">
        <f aca="false">IF(A283="","",IF(OR(F283=1,G283=1,AND(E283&lt;&gt;"",E283&lt;=2)),2,IF(AND(E283&gt;=3,G283=2,OR(F283=2,F283=3)),1,"")))</f>
        <v/>
      </c>
      <c r="AS283" s="11" t="str">
        <f aca="false">IF(AR283=1,"טיפוסי",IF(AR283=2,"מתקשה",""))</f>
        <v/>
      </c>
      <c r="AT283" s="12" t="str">
        <f aca="false">IF(AR283=1,AO283,"")</f>
        <v/>
      </c>
      <c r="AU283" s="12" t="str">
        <f aca="false">IF(AR283=2,AO283,"")</f>
        <v/>
      </c>
      <c r="AV283" s="12" t="str">
        <f aca="false">IF(AR283=1,AP283,"")</f>
        <v/>
      </c>
      <c r="AW283" s="12" t="str">
        <f aca="false">IF(AR283=2,AP283,"")</f>
        <v/>
      </c>
      <c r="AX283" s="12" t="str">
        <f aca="false">IF(AR283=1,AQ283,"")</f>
        <v/>
      </c>
      <c r="AY283" s="12" t="str">
        <f aca="false">IF(AR283=2,AQ283,"")</f>
        <v/>
      </c>
    </row>
    <row r="284" customFormat="false" ht="15" hidden="false" customHeight="true" outlineLevel="0" collapsed="false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1" t="str">
        <f aca="false">IF(V284="","",6-V284)</f>
        <v/>
      </c>
      <c r="AI284" s="11" t="str">
        <f aca="false">IF(W284="","",6-W284)</f>
        <v/>
      </c>
      <c r="AJ284" s="11" t="str">
        <f aca="false">IF(X284="","",6-X284)</f>
        <v/>
      </c>
      <c r="AK284" s="11" t="str">
        <f aca="false">IF(Y284="","",6-Y284)</f>
        <v/>
      </c>
      <c r="AL284" s="11" t="str">
        <f aca="false">IF(COUNT(H284:O284)=8,SUM(H284:O284),"")</f>
        <v/>
      </c>
      <c r="AM284" s="11" t="str">
        <f aca="false">IF(COUNT(P284:U284,AH284:AK284)=10,SUM(P284:U284,AH284:AK284),"")</f>
        <v/>
      </c>
      <c r="AN284" s="11" t="str">
        <f aca="false">IF(COUNT(Z284:AG284)=8,SUM(Z284:AG284),"")</f>
        <v/>
      </c>
      <c r="AO284" s="12" t="str">
        <f aca="false">IF(AL284="","",AL284/8)</f>
        <v/>
      </c>
      <c r="AP284" s="12" t="str">
        <f aca="false">IF(AM284="","",AM284/10)</f>
        <v/>
      </c>
      <c r="AQ284" s="12" t="str">
        <f aca="false">IF(AN284="","",AN284/8)</f>
        <v/>
      </c>
      <c r="AR284" s="11" t="str">
        <f aca="false">IF(A284="","",IF(OR(F284=1,G284=1,AND(E284&lt;&gt;"",E284&lt;=2)),2,IF(AND(E284&gt;=3,G284=2,OR(F284=2,F284=3)),1,"")))</f>
        <v/>
      </c>
      <c r="AS284" s="11" t="str">
        <f aca="false">IF(AR284=1,"טיפוסי",IF(AR284=2,"מתקשה",""))</f>
        <v/>
      </c>
      <c r="AT284" s="12" t="str">
        <f aca="false">IF(AR284=1,AO284,"")</f>
        <v/>
      </c>
      <c r="AU284" s="12" t="str">
        <f aca="false">IF(AR284=2,AO284,"")</f>
        <v/>
      </c>
      <c r="AV284" s="12" t="str">
        <f aca="false">IF(AR284=1,AP284,"")</f>
        <v/>
      </c>
      <c r="AW284" s="12" t="str">
        <f aca="false">IF(AR284=2,AP284,"")</f>
        <v/>
      </c>
      <c r="AX284" s="12" t="str">
        <f aca="false">IF(AR284=1,AQ284,"")</f>
        <v/>
      </c>
      <c r="AY284" s="12" t="str">
        <f aca="false">IF(AR284=2,AQ284,"")</f>
        <v/>
      </c>
    </row>
    <row r="285" customFormat="false" ht="15" hidden="false" customHeight="true" outlineLevel="0" collapsed="false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1" t="str">
        <f aca="false">IF(V285="","",6-V285)</f>
        <v/>
      </c>
      <c r="AI285" s="11" t="str">
        <f aca="false">IF(W285="","",6-W285)</f>
        <v/>
      </c>
      <c r="AJ285" s="11" t="str">
        <f aca="false">IF(X285="","",6-X285)</f>
        <v/>
      </c>
      <c r="AK285" s="11" t="str">
        <f aca="false">IF(Y285="","",6-Y285)</f>
        <v/>
      </c>
      <c r="AL285" s="11" t="str">
        <f aca="false">IF(COUNT(H285:O285)=8,SUM(H285:O285),"")</f>
        <v/>
      </c>
      <c r="AM285" s="11" t="str">
        <f aca="false">IF(COUNT(P285:U285,AH285:AK285)=10,SUM(P285:U285,AH285:AK285),"")</f>
        <v/>
      </c>
      <c r="AN285" s="11" t="str">
        <f aca="false">IF(COUNT(Z285:AG285)=8,SUM(Z285:AG285),"")</f>
        <v/>
      </c>
      <c r="AO285" s="12" t="str">
        <f aca="false">IF(AL285="","",AL285/8)</f>
        <v/>
      </c>
      <c r="AP285" s="12" t="str">
        <f aca="false">IF(AM285="","",AM285/10)</f>
        <v/>
      </c>
      <c r="AQ285" s="12" t="str">
        <f aca="false">IF(AN285="","",AN285/8)</f>
        <v/>
      </c>
      <c r="AR285" s="11" t="str">
        <f aca="false">IF(A285="","",IF(OR(F285=1,G285=1,AND(E285&lt;&gt;"",E285&lt;=2)),2,IF(AND(E285&gt;=3,G285=2,OR(F285=2,F285=3)),1,"")))</f>
        <v/>
      </c>
      <c r="AS285" s="11" t="str">
        <f aca="false">IF(AR285=1,"טיפוסי",IF(AR285=2,"מתקשה",""))</f>
        <v/>
      </c>
      <c r="AT285" s="12" t="str">
        <f aca="false">IF(AR285=1,AO285,"")</f>
        <v/>
      </c>
      <c r="AU285" s="12" t="str">
        <f aca="false">IF(AR285=2,AO285,"")</f>
        <v/>
      </c>
      <c r="AV285" s="12" t="str">
        <f aca="false">IF(AR285=1,AP285,"")</f>
        <v/>
      </c>
      <c r="AW285" s="12" t="str">
        <f aca="false">IF(AR285=2,AP285,"")</f>
        <v/>
      </c>
      <c r="AX285" s="12" t="str">
        <f aca="false">IF(AR285=1,AQ285,"")</f>
        <v/>
      </c>
      <c r="AY285" s="12" t="str">
        <f aca="false">IF(AR285=2,AQ285,"")</f>
        <v/>
      </c>
    </row>
    <row r="286" customFormat="false" ht="15" hidden="false" customHeight="true" outlineLevel="0" collapsed="false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1" t="str">
        <f aca="false">IF(V286="","",6-V286)</f>
        <v/>
      </c>
      <c r="AI286" s="11" t="str">
        <f aca="false">IF(W286="","",6-W286)</f>
        <v/>
      </c>
      <c r="AJ286" s="11" t="str">
        <f aca="false">IF(X286="","",6-X286)</f>
        <v/>
      </c>
      <c r="AK286" s="11" t="str">
        <f aca="false">IF(Y286="","",6-Y286)</f>
        <v/>
      </c>
      <c r="AL286" s="11" t="str">
        <f aca="false">IF(COUNT(H286:O286)=8,SUM(H286:O286),"")</f>
        <v/>
      </c>
      <c r="AM286" s="11" t="str">
        <f aca="false">IF(COUNT(P286:U286,AH286:AK286)=10,SUM(P286:U286,AH286:AK286),"")</f>
        <v/>
      </c>
      <c r="AN286" s="11" t="str">
        <f aca="false">IF(COUNT(Z286:AG286)=8,SUM(Z286:AG286),"")</f>
        <v/>
      </c>
      <c r="AO286" s="12" t="str">
        <f aca="false">IF(AL286="","",AL286/8)</f>
        <v/>
      </c>
      <c r="AP286" s="12" t="str">
        <f aca="false">IF(AM286="","",AM286/10)</f>
        <v/>
      </c>
      <c r="AQ286" s="12" t="str">
        <f aca="false">IF(AN286="","",AN286/8)</f>
        <v/>
      </c>
      <c r="AR286" s="11" t="str">
        <f aca="false">IF(A286="","",IF(OR(F286=1,G286=1,AND(E286&lt;&gt;"",E286&lt;=2)),2,IF(AND(E286&gt;=3,G286=2,OR(F286=2,F286=3)),1,"")))</f>
        <v/>
      </c>
      <c r="AS286" s="11" t="str">
        <f aca="false">IF(AR286=1,"טיפוסי",IF(AR286=2,"מתקשה",""))</f>
        <v/>
      </c>
      <c r="AT286" s="12" t="str">
        <f aca="false">IF(AR286=1,AO286,"")</f>
        <v/>
      </c>
      <c r="AU286" s="12" t="str">
        <f aca="false">IF(AR286=2,AO286,"")</f>
        <v/>
      </c>
      <c r="AV286" s="12" t="str">
        <f aca="false">IF(AR286=1,AP286,"")</f>
        <v/>
      </c>
      <c r="AW286" s="12" t="str">
        <f aca="false">IF(AR286=2,AP286,"")</f>
        <v/>
      </c>
      <c r="AX286" s="12" t="str">
        <f aca="false">IF(AR286=1,AQ286,"")</f>
        <v/>
      </c>
      <c r="AY286" s="12" t="str">
        <f aca="false">IF(AR286=2,AQ286,"")</f>
        <v/>
      </c>
    </row>
    <row r="287" customFormat="false" ht="15" hidden="false" customHeight="true" outlineLevel="0" collapsed="false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1" t="str">
        <f aca="false">IF(V287="","",6-V287)</f>
        <v/>
      </c>
      <c r="AI287" s="11" t="str">
        <f aca="false">IF(W287="","",6-W287)</f>
        <v/>
      </c>
      <c r="AJ287" s="11" t="str">
        <f aca="false">IF(X287="","",6-X287)</f>
        <v/>
      </c>
      <c r="AK287" s="11" t="str">
        <f aca="false">IF(Y287="","",6-Y287)</f>
        <v/>
      </c>
      <c r="AL287" s="11" t="str">
        <f aca="false">IF(COUNT(H287:O287)=8,SUM(H287:O287),"")</f>
        <v/>
      </c>
      <c r="AM287" s="11" t="str">
        <f aca="false">IF(COUNT(P287:U287,AH287:AK287)=10,SUM(P287:U287,AH287:AK287),"")</f>
        <v/>
      </c>
      <c r="AN287" s="11" t="str">
        <f aca="false">IF(COUNT(Z287:AG287)=8,SUM(Z287:AG287),"")</f>
        <v/>
      </c>
      <c r="AO287" s="12" t="str">
        <f aca="false">IF(AL287="","",AL287/8)</f>
        <v/>
      </c>
      <c r="AP287" s="12" t="str">
        <f aca="false">IF(AM287="","",AM287/10)</f>
        <v/>
      </c>
      <c r="AQ287" s="12" t="str">
        <f aca="false">IF(AN287="","",AN287/8)</f>
        <v/>
      </c>
      <c r="AR287" s="11" t="str">
        <f aca="false">IF(A287="","",IF(OR(F287=1,G287=1,AND(E287&lt;&gt;"",E287&lt;=2)),2,IF(AND(E287&gt;=3,G287=2,OR(F287=2,F287=3)),1,"")))</f>
        <v/>
      </c>
      <c r="AS287" s="11" t="str">
        <f aca="false">IF(AR287=1,"טיפוסי",IF(AR287=2,"מתקשה",""))</f>
        <v/>
      </c>
      <c r="AT287" s="12" t="str">
        <f aca="false">IF(AR287=1,AO287,"")</f>
        <v/>
      </c>
      <c r="AU287" s="12" t="str">
        <f aca="false">IF(AR287=2,AO287,"")</f>
        <v/>
      </c>
      <c r="AV287" s="12" t="str">
        <f aca="false">IF(AR287=1,AP287,"")</f>
        <v/>
      </c>
      <c r="AW287" s="12" t="str">
        <f aca="false">IF(AR287=2,AP287,"")</f>
        <v/>
      </c>
      <c r="AX287" s="12" t="str">
        <f aca="false">IF(AR287=1,AQ287,"")</f>
        <v/>
      </c>
      <c r="AY287" s="12" t="str">
        <f aca="false">IF(AR287=2,AQ287,"")</f>
        <v/>
      </c>
    </row>
    <row r="288" customFormat="false" ht="15" hidden="false" customHeight="true" outlineLevel="0" collapsed="false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1" t="str">
        <f aca="false">IF(V288="","",6-V288)</f>
        <v/>
      </c>
      <c r="AI288" s="11" t="str">
        <f aca="false">IF(W288="","",6-W288)</f>
        <v/>
      </c>
      <c r="AJ288" s="11" t="str">
        <f aca="false">IF(X288="","",6-X288)</f>
        <v/>
      </c>
      <c r="AK288" s="11" t="str">
        <f aca="false">IF(Y288="","",6-Y288)</f>
        <v/>
      </c>
      <c r="AL288" s="11" t="str">
        <f aca="false">IF(COUNT(H288:O288)=8,SUM(H288:O288),"")</f>
        <v/>
      </c>
      <c r="AM288" s="11" t="str">
        <f aca="false">IF(COUNT(P288:U288,AH288:AK288)=10,SUM(P288:U288,AH288:AK288),"")</f>
        <v/>
      </c>
      <c r="AN288" s="11" t="str">
        <f aca="false">IF(COUNT(Z288:AG288)=8,SUM(Z288:AG288),"")</f>
        <v/>
      </c>
      <c r="AO288" s="12" t="str">
        <f aca="false">IF(AL288="","",AL288/8)</f>
        <v/>
      </c>
      <c r="AP288" s="12" t="str">
        <f aca="false">IF(AM288="","",AM288/10)</f>
        <v/>
      </c>
      <c r="AQ288" s="12" t="str">
        <f aca="false">IF(AN288="","",AN288/8)</f>
        <v/>
      </c>
      <c r="AR288" s="11" t="str">
        <f aca="false">IF(A288="","",IF(OR(F288=1,G288=1,AND(E288&lt;&gt;"",E288&lt;=2)),2,IF(AND(E288&gt;=3,G288=2,OR(F288=2,F288=3)),1,"")))</f>
        <v/>
      </c>
      <c r="AS288" s="11" t="str">
        <f aca="false">IF(AR288=1,"טיפוסי",IF(AR288=2,"מתקשה",""))</f>
        <v/>
      </c>
      <c r="AT288" s="12" t="str">
        <f aca="false">IF(AR288=1,AO288,"")</f>
        <v/>
      </c>
      <c r="AU288" s="12" t="str">
        <f aca="false">IF(AR288=2,AO288,"")</f>
        <v/>
      </c>
      <c r="AV288" s="12" t="str">
        <f aca="false">IF(AR288=1,AP288,"")</f>
        <v/>
      </c>
      <c r="AW288" s="12" t="str">
        <f aca="false">IF(AR288=2,AP288,"")</f>
        <v/>
      </c>
      <c r="AX288" s="12" t="str">
        <f aca="false">IF(AR288=1,AQ288,"")</f>
        <v/>
      </c>
      <c r="AY288" s="12" t="str">
        <f aca="false">IF(AR288=2,AQ288,"")</f>
        <v/>
      </c>
    </row>
    <row r="289" customFormat="false" ht="15" hidden="false" customHeight="true" outlineLevel="0" collapsed="false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1" t="str">
        <f aca="false">IF(V289="","",6-V289)</f>
        <v/>
      </c>
      <c r="AI289" s="11" t="str">
        <f aca="false">IF(W289="","",6-W289)</f>
        <v/>
      </c>
      <c r="AJ289" s="11" t="str">
        <f aca="false">IF(X289="","",6-X289)</f>
        <v/>
      </c>
      <c r="AK289" s="11" t="str">
        <f aca="false">IF(Y289="","",6-Y289)</f>
        <v/>
      </c>
      <c r="AL289" s="11" t="str">
        <f aca="false">IF(COUNT(H289:O289)=8,SUM(H289:O289),"")</f>
        <v/>
      </c>
      <c r="AM289" s="11" t="str">
        <f aca="false">IF(COUNT(P289:U289,AH289:AK289)=10,SUM(P289:U289,AH289:AK289),"")</f>
        <v/>
      </c>
      <c r="AN289" s="11" t="str">
        <f aca="false">IF(COUNT(Z289:AG289)=8,SUM(Z289:AG289),"")</f>
        <v/>
      </c>
      <c r="AO289" s="12" t="str">
        <f aca="false">IF(AL289="","",AL289/8)</f>
        <v/>
      </c>
      <c r="AP289" s="12" t="str">
        <f aca="false">IF(AM289="","",AM289/10)</f>
        <v/>
      </c>
      <c r="AQ289" s="12" t="str">
        <f aca="false">IF(AN289="","",AN289/8)</f>
        <v/>
      </c>
      <c r="AR289" s="11" t="str">
        <f aca="false">IF(A289="","",IF(OR(F289=1,G289=1,AND(E289&lt;&gt;"",E289&lt;=2)),2,IF(AND(E289&gt;=3,G289=2,OR(F289=2,F289=3)),1,"")))</f>
        <v/>
      </c>
      <c r="AS289" s="11" t="str">
        <f aca="false">IF(AR289=1,"טיפוסי",IF(AR289=2,"מתקשה",""))</f>
        <v/>
      </c>
      <c r="AT289" s="12" t="str">
        <f aca="false">IF(AR289=1,AO289,"")</f>
        <v/>
      </c>
      <c r="AU289" s="12" t="str">
        <f aca="false">IF(AR289=2,AO289,"")</f>
        <v/>
      </c>
      <c r="AV289" s="12" t="str">
        <f aca="false">IF(AR289=1,AP289,"")</f>
        <v/>
      </c>
      <c r="AW289" s="12" t="str">
        <f aca="false">IF(AR289=2,AP289,"")</f>
        <v/>
      </c>
      <c r="AX289" s="12" t="str">
        <f aca="false">IF(AR289=1,AQ289,"")</f>
        <v/>
      </c>
      <c r="AY289" s="12" t="str">
        <f aca="false">IF(AR289=2,AQ289,"")</f>
        <v/>
      </c>
    </row>
    <row r="290" customFormat="false" ht="15" hidden="false" customHeight="true" outlineLevel="0" collapsed="false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1" t="str">
        <f aca="false">IF(V290="","",6-V290)</f>
        <v/>
      </c>
      <c r="AI290" s="11" t="str">
        <f aca="false">IF(W290="","",6-W290)</f>
        <v/>
      </c>
      <c r="AJ290" s="11" t="str">
        <f aca="false">IF(X290="","",6-X290)</f>
        <v/>
      </c>
      <c r="AK290" s="11" t="str">
        <f aca="false">IF(Y290="","",6-Y290)</f>
        <v/>
      </c>
      <c r="AL290" s="11" t="str">
        <f aca="false">IF(COUNT(H290:O290)=8,SUM(H290:O290),"")</f>
        <v/>
      </c>
      <c r="AM290" s="11" t="str">
        <f aca="false">IF(COUNT(P290:U290,AH290:AK290)=10,SUM(P290:U290,AH290:AK290),"")</f>
        <v/>
      </c>
      <c r="AN290" s="11" t="str">
        <f aca="false">IF(COUNT(Z290:AG290)=8,SUM(Z290:AG290),"")</f>
        <v/>
      </c>
      <c r="AO290" s="12" t="str">
        <f aca="false">IF(AL290="","",AL290/8)</f>
        <v/>
      </c>
      <c r="AP290" s="12" t="str">
        <f aca="false">IF(AM290="","",AM290/10)</f>
        <v/>
      </c>
      <c r="AQ290" s="12" t="str">
        <f aca="false">IF(AN290="","",AN290/8)</f>
        <v/>
      </c>
      <c r="AR290" s="11" t="str">
        <f aca="false">IF(A290="","",IF(OR(F290=1,G290=1,AND(E290&lt;&gt;"",E290&lt;=2)),2,IF(AND(E290&gt;=3,G290=2,OR(F290=2,F290=3)),1,"")))</f>
        <v/>
      </c>
      <c r="AS290" s="11" t="str">
        <f aca="false">IF(AR290=1,"טיפוסי",IF(AR290=2,"מתקשה",""))</f>
        <v/>
      </c>
      <c r="AT290" s="12" t="str">
        <f aca="false">IF(AR290=1,AO290,"")</f>
        <v/>
      </c>
      <c r="AU290" s="12" t="str">
        <f aca="false">IF(AR290=2,AO290,"")</f>
        <v/>
      </c>
      <c r="AV290" s="12" t="str">
        <f aca="false">IF(AR290=1,AP290,"")</f>
        <v/>
      </c>
      <c r="AW290" s="12" t="str">
        <f aca="false">IF(AR290=2,AP290,"")</f>
        <v/>
      </c>
      <c r="AX290" s="12" t="str">
        <f aca="false">IF(AR290=1,AQ290,"")</f>
        <v/>
      </c>
      <c r="AY290" s="12" t="str">
        <f aca="false">IF(AR290=2,AQ290,"")</f>
        <v/>
      </c>
    </row>
    <row r="291" customFormat="false" ht="15" hidden="false" customHeight="true" outlineLevel="0" collapsed="false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1" t="str">
        <f aca="false">IF(V291="","",6-V291)</f>
        <v/>
      </c>
      <c r="AI291" s="11" t="str">
        <f aca="false">IF(W291="","",6-W291)</f>
        <v/>
      </c>
      <c r="AJ291" s="11" t="str">
        <f aca="false">IF(X291="","",6-X291)</f>
        <v/>
      </c>
      <c r="AK291" s="11" t="str">
        <f aca="false">IF(Y291="","",6-Y291)</f>
        <v/>
      </c>
      <c r="AL291" s="11" t="str">
        <f aca="false">IF(COUNT(H291:O291)=8,SUM(H291:O291),"")</f>
        <v/>
      </c>
      <c r="AM291" s="11" t="str">
        <f aca="false">IF(COUNT(P291:U291,AH291:AK291)=10,SUM(P291:U291,AH291:AK291),"")</f>
        <v/>
      </c>
      <c r="AN291" s="11" t="str">
        <f aca="false">IF(COUNT(Z291:AG291)=8,SUM(Z291:AG291),"")</f>
        <v/>
      </c>
      <c r="AO291" s="12" t="str">
        <f aca="false">IF(AL291="","",AL291/8)</f>
        <v/>
      </c>
      <c r="AP291" s="12" t="str">
        <f aca="false">IF(AM291="","",AM291/10)</f>
        <v/>
      </c>
      <c r="AQ291" s="12" t="str">
        <f aca="false">IF(AN291="","",AN291/8)</f>
        <v/>
      </c>
      <c r="AR291" s="11" t="str">
        <f aca="false">IF(A291="","",IF(OR(F291=1,G291=1,AND(E291&lt;&gt;"",E291&lt;=2)),2,IF(AND(E291&gt;=3,G291=2,OR(F291=2,F291=3)),1,"")))</f>
        <v/>
      </c>
      <c r="AS291" s="11" t="str">
        <f aca="false">IF(AR291=1,"טיפוסי",IF(AR291=2,"מתקשה",""))</f>
        <v/>
      </c>
      <c r="AT291" s="12" t="str">
        <f aca="false">IF(AR291=1,AO291,"")</f>
        <v/>
      </c>
      <c r="AU291" s="12" t="str">
        <f aca="false">IF(AR291=2,AO291,"")</f>
        <v/>
      </c>
      <c r="AV291" s="12" t="str">
        <f aca="false">IF(AR291=1,AP291,"")</f>
        <v/>
      </c>
      <c r="AW291" s="12" t="str">
        <f aca="false">IF(AR291=2,AP291,"")</f>
        <v/>
      </c>
      <c r="AX291" s="12" t="str">
        <f aca="false">IF(AR291=1,AQ291,"")</f>
        <v/>
      </c>
      <c r="AY291" s="12" t="str">
        <f aca="false">IF(AR291=2,AQ291,"")</f>
        <v/>
      </c>
    </row>
    <row r="292" customFormat="false" ht="15" hidden="false" customHeight="true" outlineLevel="0" collapsed="false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1" t="str">
        <f aca="false">IF(V292="","",6-V292)</f>
        <v/>
      </c>
      <c r="AI292" s="11" t="str">
        <f aca="false">IF(W292="","",6-W292)</f>
        <v/>
      </c>
      <c r="AJ292" s="11" t="str">
        <f aca="false">IF(X292="","",6-X292)</f>
        <v/>
      </c>
      <c r="AK292" s="11" t="str">
        <f aca="false">IF(Y292="","",6-Y292)</f>
        <v/>
      </c>
      <c r="AL292" s="11" t="str">
        <f aca="false">IF(COUNT(H292:O292)=8,SUM(H292:O292),"")</f>
        <v/>
      </c>
      <c r="AM292" s="11" t="str">
        <f aca="false">IF(COUNT(P292:U292,AH292:AK292)=10,SUM(P292:U292,AH292:AK292),"")</f>
        <v/>
      </c>
      <c r="AN292" s="11" t="str">
        <f aca="false">IF(COUNT(Z292:AG292)=8,SUM(Z292:AG292),"")</f>
        <v/>
      </c>
      <c r="AO292" s="12" t="str">
        <f aca="false">IF(AL292="","",AL292/8)</f>
        <v/>
      </c>
      <c r="AP292" s="12" t="str">
        <f aca="false">IF(AM292="","",AM292/10)</f>
        <v/>
      </c>
      <c r="AQ292" s="12" t="str">
        <f aca="false">IF(AN292="","",AN292/8)</f>
        <v/>
      </c>
      <c r="AR292" s="11" t="str">
        <f aca="false">IF(A292="","",IF(OR(F292=1,G292=1,AND(E292&lt;&gt;"",E292&lt;=2)),2,IF(AND(E292&gt;=3,G292=2,OR(F292=2,F292=3)),1,"")))</f>
        <v/>
      </c>
      <c r="AS292" s="11" t="str">
        <f aca="false">IF(AR292=1,"טיפוסי",IF(AR292=2,"מתקשה",""))</f>
        <v/>
      </c>
      <c r="AT292" s="12" t="str">
        <f aca="false">IF(AR292=1,AO292,"")</f>
        <v/>
      </c>
      <c r="AU292" s="12" t="str">
        <f aca="false">IF(AR292=2,AO292,"")</f>
        <v/>
      </c>
      <c r="AV292" s="12" t="str">
        <f aca="false">IF(AR292=1,AP292,"")</f>
        <v/>
      </c>
      <c r="AW292" s="12" t="str">
        <f aca="false">IF(AR292=2,AP292,"")</f>
        <v/>
      </c>
      <c r="AX292" s="12" t="str">
        <f aca="false">IF(AR292=1,AQ292,"")</f>
        <v/>
      </c>
      <c r="AY292" s="12" t="str">
        <f aca="false">IF(AR292=2,AQ292,"")</f>
        <v/>
      </c>
    </row>
    <row r="293" customFormat="false" ht="15" hidden="false" customHeight="true" outlineLevel="0" collapsed="false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1" t="str">
        <f aca="false">IF(V293="","",6-V293)</f>
        <v/>
      </c>
      <c r="AI293" s="11" t="str">
        <f aca="false">IF(W293="","",6-W293)</f>
        <v/>
      </c>
      <c r="AJ293" s="11" t="str">
        <f aca="false">IF(X293="","",6-X293)</f>
        <v/>
      </c>
      <c r="AK293" s="11" t="str">
        <f aca="false">IF(Y293="","",6-Y293)</f>
        <v/>
      </c>
      <c r="AL293" s="11" t="str">
        <f aca="false">IF(COUNT(H293:O293)=8,SUM(H293:O293),"")</f>
        <v/>
      </c>
      <c r="AM293" s="11" t="str">
        <f aca="false">IF(COUNT(P293:U293,AH293:AK293)=10,SUM(P293:U293,AH293:AK293),"")</f>
        <v/>
      </c>
      <c r="AN293" s="11" t="str">
        <f aca="false">IF(COUNT(Z293:AG293)=8,SUM(Z293:AG293),"")</f>
        <v/>
      </c>
      <c r="AO293" s="12" t="str">
        <f aca="false">IF(AL293="","",AL293/8)</f>
        <v/>
      </c>
      <c r="AP293" s="12" t="str">
        <f aca="false">IF(AM293="","",AM293/10)</f>
        <v/>
      </c>
      <c r="AQ293" s="12" t="str">
        <f aca="false">IF(AN293="","",AN293/8)</f>
        <v/>
      </c>
      <c r="AR293" s="11" t="str">
        <f aca="false">IF(A293="","",IF(OR(F293=1,G293=1,AND(E293&lt;&gt;"",E293&lt;=2)),2,IF(AND(E293&gt;=3,G293=2,OR(F293=2,F293=3)),1,"")))</f>
        <v/>
      </c>
      <c r="AS293" s="11" t="str">
        <f aca="false">IF(AR293=1,"טיפוסי",IF(AR293=2,"מתקשה",""))</f>
        <v/>
      </c>
      <c r="AT293" s="12" t="str">
        <f aca="false">IF(AR293=1,AO293,"")</f>
        <v/>
      </c>
      <c r="AU293" s="12" t="str">
        <f aca="false">IF(AR293=2,AO293,"")</f>
        <v/>
      </c>
      <c r="AV293" s="12" t="str">
        <f aca="false">IF(AR293=1,AP293,"")</f>
        <v/>
      </c>
      <c r="AW293" s="12" t="str">
        <f aca="false">IF(AR293=2,AP293,"")</f>
        <v/>
      </c>
      <c r="AX293" s="12" t="str">
        <f aca="false">IF(AR293=1,AQ293,"")</f>
        <v/>
      </c>
      <c r="AY293" s="12" t="str">
        <f aca="false">IF(AR293=2,AQ293,"")</f>
        <v/>
      </c>
    </row>
    <row r="294" customFormat="false" ht="15" hidden="false" customHeight="true" outlineLevel="0" collapsed="false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1" t="str">
        <f aca="false">IF(V294="","",6-V294)</f>
        <v/>
      </c>
      <c r="AI294" s="11" t="str">
        <f aca="false">IF(W294="","",6-W294)</f>
        <v/>
      </c>
      <c r="AJ294" s="11" t="str">
        <f aca="false">IF(X294="","",6-X294)</f>
        <v/>
      </c>
      <c r="AK294" s="11" t="str">
        <f aca="false">IF(Y294="","",6-Y294)</f>
        <v/>
      </c>
      <c r="AL294" s="11" t="str">
        <f aca="false">IF(COUNT(H294:O294)=8,SUM(H294:O294),"")</f>
        <v/>
      </c>
      <c r="AM294" s="11" t="str">
        <f aca="false">IF(COUNT(P294:U294,AH294:AK294)=10,SUM(P294:U294,AH294:AK294),"")</f>
        <v/>
      </c>
      <c r="AN294" s="11" t="str">
        <f aca="false">IF(COUNT(Z294:AG294)=8,SUM(Z294:AG294),"")</f>
        <v/>
      </c>
      <c r="AO294" s="12" t="str">
        <f aca="false">IF(AL294="","",AL294/8)</f>
        <v/>
      </c>
      <c r="AP294" s="12" t="str">
        <f aca="false">IF(AM294="","",AM294/10)</f>
        <v/>
      </c>
      <c r="AQ294" s="12" t="str">
        <f aca="false">IF(AN294="","",AN294/8)</f>
        <v/>
      </c>
      <c r="AR294" s="11" t="str">
        <f aca="false">IF(A294="","",IF(OR(F294=1,G294=1,AND(E294&lt;&gt;"",E294&lt;=2)),2,IF(AND(E294&gt;=3,G294=2,OR(F294=2,F294=3)),1,"")))</f>
        <v/>
      </c>
      <c r="AS294" s="11" t="str">
        <f aca="false">IF(AR294=1,"טיפוסי",IF(AR294=2,"מתקשה",""))</f>
        <v/>
      </c>
      <c r="AT294" s="12" t="str">
        <f aca="false">IF(AR294=1,AO294,"")</f>
        <v/>
      </c>
      <c r="AU294" s="12" t="str">
        <f aca="false">IF(AR294=2,AO294,"")</f>
        <v/>
      </c>
      <c r="AV294" s="12" t="str">
        <f aca="false">IF(AR294=1,AP294,"")</f>
        <v/>
      </c>
      <c r="AW294" s="12" t="str">
        <f aca="false">IF(AR294=2,AP294,"")</f>
        <v/>
      </c>
      <c r="AX294" s="12" t="str">
        <f aca="false">IF(AR294=1,AQ294,"")</f>
        <v/>
      </c>
      <c r="AY294" s="12" t="str">
        <f aca="false">IF(AR294=2,AQ294,"")</f>
        <v/>
      </c>
    </row>
    <row r="295" customFormat="false" ht="15" hidden="false" customHeight="true" outlineLevel="0" collapsed="false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1" t="str">
        <f aca="false">IF(V295="","",6-V295)</f>
        <v/>
      </c>
      <c r="AI295" s="11" t="str">
        <f aca="false">IF(W295="","",6-W295)</f>
        <v/>
      </c>
      <c r="AJ295" s="11" t="str">
        <f aca="false">IF(X295="","",6-X295)</f>
        <v/>
      </c>
      <c r="AK295" s="11" t="str">
        <f aca="false">IF(Y295="","",6-Y295)</f>
        <v/>
      </c>
      <c r="AL295" s="11" t="str">
        <f aca="false">IF(COUNT(H295:O295)=8,SUM(H295:O295),"")</f>
        <v/>
      </c>
      <c r="AM295" s="11" t="str">
        <f aca="false">IF(COUNT(P295:U295,AH295:AK295)=10,SUM(P295:U295,AH295:AK295),"")</f>
        <v/>
      </c>
      <c r="AN295" s="11" t="str">
        <f aca="false">IF(COUNT(Z295:AG295)=8,SUM(Z295:AG295),"")</f>
        <v/>
      </c>
      <c r="AO295" s="12" t="str">
        <f aca="false">IF(AL295="","",AL295/8)</f>
        <v/>
      </c>
      <c r="AP295" s="12" t="str">
        <f aca="false">IF(AM295="","",AM295/10)</f>
        <v/>
      </c>
      <c r="AQ295" s="12" t="str">
        <f aca="false">IF(AN295="","",AN295/8)</f>
        <v/>
      </c>
      <c r="AR295" s="11" t="str">
        <f aca="false">IF(A295="","",IF(OR(F295=1,G295=1,AND(E295&lt;&gt;"",E295&lt;=2)),2,IF(AND(E295&gt;=3,G295=2,OR(F295=2,F295=3)),1,"")))</f>
        <v/>
      </c>
      <c r="AS295" s="11" t="str">
        <f aca="false">IF(AR295=1,"טיפוסי",IF(AR295=2,"מתקשה",""))</f>
        <v/>
      </c>
      <c r="AT295" s="12" t="str">
        <f aca="false">IF(AR295=1,AO295,"")</f>
        <v/>
      </c>
      <c r="AU295" s="12" t="str">
        <f aca="false">IF(AR295=2,AO295,"")</f>
        <v/>
      </c>
      <c r="AV295" s="12" t="str">
        <f aca="false">IF(AR295=1,AP295,"")</f>
        <v/>
      </c>
      <c r="AW295" s="12" t="str">
        <f aca="false">IF(AR295=2,AP295,"")</f>
        <v/>
      </c>
      <c r="AX295" s="12" t="str">
        <f aca="false">IF(AR295=1,AQ295,"")</f>
        <v/>
      </c>
      <c r="AY295" s="12" t="str">
        <f aca="false">IF(AR295=2,AQ295,"")</f>
        <v/>
      </c>
    </row>
    <row r="296" customFormat="false" ht="15" hidden="false" customHeight="true" outlineLevel="0" collapsed="false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1" t="str">
        <f aca="false">IF(V296="","",6-V296)</f>
        <v/>
      </c>
      <c r="AI296" s="11" t="str">
        <f aca="false">IF(W296="","",6-W296)</f>
        <v/>
      </c>
      <c r="AJ296" s="11" t="str">
        <f aca="false">IF(X296="","",6-X296)</f>
        <v/>
      </c>
      <c r="AK296" s="11" t="str">
        <f aca="false">IF(Y296="","",6-Y296)</f>
        <v/>
      </c>
      <c r="AL296" s="11" t="str">
        <f aca="false">IF(COUNT(H296:O296)=8,SUM(H296:O296),"")</f>
        <v/>
      </c>
      <c r="AM296" s="11" t="str">
        <f aca="false">IF(COUNT(P296:U296,AH296:AK296)=10,SUM(P296:U296,AH296:AK296),"")</f>
        <v/>
      </c>
      <c r="AN296" s="11" t="str">
        <f aca="false">IF(COUNT(Z296:AG296)=8,SUM(Z296:AG296),"")</f>
        <v/>
      </c>
      <c r="AO296" s="12" t="str">
        <f aca="false">IF(AL296="","",AL296/8)</f>
        <v/>
      </c>
      <c r="AP296" s="12" t="str">
        <f aca="false">IF(AM296="","",AM296/10)</f>
        <v/>
      </c>
      <c r="AQ296" s="12" t="str">
        <f aca="false">IF(AN296="","",AN296/8)</f>
        <v/>
      </c>
      <c r="AR296" s="11" t="str">
        <f aca="false">IF(A296="","",IF(OR(F296=1,G296=1,AND(E296&lt;&gt;"",E296&lt;=2)),2,IF(AND(E296&gt;=3,G296=2,OR(F296=2,F296=3)),1,"")))</f>
        <v/>
      </c>
      <c r="AS296" s="11" t="str">
        <f aca="false">IF(AR296=1,"טיפוסי",IF(AR296=2,"מתקשה",""))</f>
        <v/>
      </c>
      <c r="AT296" s="12" t="str">
        <f aca="false">IF(AR296=1,AO296,"")</f>
        <v/>
      </c>
      <c r="AU296" s="12" t="str">
        <f aca="false">IF(AR296=2,AO296,"")</f>
        <v/>
      </c>
      <c r="AV296" s="12" t="str">
        <f aca="false">IF(AR296=1,AP296,"")</f>
        <v/>
      </c>
      <c r="AW296" s="12" t="str">
        <f aca="false">IF(AR296=2,AP296,"")</f>
        <v/>
      </c>
      <c r="AX296" s="12" t="str">
        <f aca="false">IF(AR296=1,AQ296,"")</f>
        <v/>
      </c>
      <c r="AY296" s="12" t="str">
        <f aca="false">IF(AR296=2,AQ296,"")</f>
        <v/>
      </c>
    </row>
    <row r="297" customFormat="false" ht="15" hidden="false" customHeight="true" outlineLevel="0" collapsed="false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1" t="str">
        <f aca="false">IF(V297="","",6-V297)</f>
        <v/>
      </c>
      <c r="AI297" s="11" t="str">
        <f aca="false">IF(W297="","",6-W297)</f>
        <v/>
      </c>
      <c r="AJ297" s="11" t="str">
        <f aca="false">IF(X297="","",6-X297)</f>
        <v/>
      </c>
      <c r="AK297" s="11" t="str">
        <f aca="false">IF(Y297="","",6-Y297)</f>
        <v/>
      </c>
      <c r="AL297" s="11" t="str">
        <f aca="false">IF(COUNT(H297:O297)=8,SUM(H297:O297),"")</f>
        <v/>
      </c>
      <c r="AM297" s="11" t="str">
        <f aca="false">IF(COUNT(P297:U297,AH297:AK297)=10,SUM(P297:U297,AH297:AK297),"")</f>
        <v/>
      </c>
      <c r="AN297" s="11" t="str">
        <f aca="false">IF(COUNT(Z297:AG297)=8,SUM(Z297:AG297),"")</f>
        <v/>
      </c>
      <c r="AO297" s="12" t="str">
        <f aca="false">IF(AL297="","",AL297/8)</f>
        <v/>
      </c>
      <c r="AP297" s="12" t="str">
        <f aca="false">IF(AM297="","",AM297/10)</f>
        <v/>
      </c>
      <c r="AQ297" s="12" t="str">
        <f aca="false">IF(AN297="","",AN297/8)</f>
        <v/>
      </c>
      <c r="AR297" s="11" t="str">
        <f aca="false">IF(A297="","",IF(OR(F297=1,G297=1,AND(E297&lt;&gt;"",E297&lt;=2)),2,IF(AND(E297&gt;=3,G297=2,OR(F297=2,F297=3)),1,"")))</f>
        <v/>
      </c>
      <c r="AS297" s="11" t="str">
        <f aca="false">IF(AR297=1,"טיפוסי",IF(AR297=2,"מתקשה",""))</f>
        <v/>
      </c>
      <c r="AT297" s="12" t="str">
        <f aca="false">IF(AR297=1,AO297,"")</f>
        <v/>
      </c>
      <c r="AU297" s="12" t="str">
        <f aca="false">IF(AR297=2,AO297,"")</f>
        <v/>
      </c>
      <c r="AV297" s="12" t="str">
        <f aca="false">IF(AR297=1,AP297,"")</f>
        <v/>
      </c>
      <c r="AW297" s="12" t="str">
        <f aca="false">IF(AR297=2,AP297,"")</f>
        <v/>
      </c>
      <c r="AX297" s="12" t="str">
        <f aca="false">IF(AR297=1,AQ297,"")</f>
        <v/>
      </c>
      <c r="AY297" s="12" t="str">
        <f aca="false">IF(AR297=2,AQ297,"")</f>
        <v/>
      </c>
    </row>
    <row r="298" customFormat="false" ht="15" hidden="false" customHeight="true" outlineLevel="0" collapsed="false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1" t="str">
        <f aca="false">IF(V298="","",6-V298)</f>
        <v/>
      </c>
      <c r="AI298" s="11" t="str">
        <f aca="false">IF(W298="","",6-W298)</f>
        <v/>
      </c>
      <c r="AJ298" s="11" t="str">
        <f aca="false">IF(X298="","",6-X298)</f>
        <v/>
      </c>
      <c r="AK298" s="11" t="str">
        <f aca="false">IF(Y298="","",6-Y298)</f>
        <v/>
      </c>
      <c r="AL298" s="11" t="str">
        <f aca="false">IF(COUNT(H298:O298)=8,SUM(H298:O298),"")</f>
        <v/>
      </c>
      <c r="AM298" s="11" t="str">
        <f aca="false">IF(COUNT(P298:U298,AH298:AK298)=10,SUM(P298:U298,AH298:AK298),"")</f>
        <v/>
      </c>
      <c r="AN298" s="11" t="str">
        <f aca="false">IF(COUNT(Z298:AG298)=8,SUM(Z298:AG298),"")</f>
        <v/>
      </c>
      <c r="AO298" s="12" t="str">
        <f aca="false">IF(AL298="","",AL298/8)</f>
        <v/>
      </c>
      <c r="AP298" s="12" t="str">
        <f aca="false">IF(AM298="","",AM298/10)</f>
        <v/>
      </c>
      <c r="AQ298" s="12" t="str">
        <f aca="false">IF(AN298="","",AN298/8)</f>
        <v/>
      </c>
      <c r="AR298" s="11" t="str">
        <f aca="false">IF(A298="","",IF(OR(F298=1,G298=1,AND(E298&lt;&gt;"",E298&lt;=2)),2,IF(AND(E298&gt;=3,G298=2,OR(F298=2,F298=3)),1,"")))</f>
        <v/>
      </c>
      <c r="AS298" s="11" t="str">
        <f aca="false">IF(AR298=1,"טיפוסי",IF(AR298=2,"מתקשה",""))</f>
        <v/>
      </c>
      <c r="AT298" s="12" t="str">
        <f aca="false">IF(AR298=1,AO298,"")</f>
        <v/>
      </c>
      <c r="AU298" s="12" t="str">
        <f aca="false">IF(AR298=2,AO298,"")</f>
        <v/>
      </c>
      <c r="AV298" s="12" t="str">
        <f aca="false">IF(AR298=1,AP298,"")</f>
        <v/>
      </c>
      <c r="AW298" s="12" t="str">
        <f aca="false">IF(AR298=2,AP298,"")</f>
        <v/>
      </c>
      <c r="AX298" s="12" t="str">
        <f aca="false">IF(AR298=1,AQ298,"")</f>
        <v/>
      </c>
      <c r="AY298" s="12" t="str">
        <f aca="false">IF(AR298=2,AQ298,"")</f>
        <v/>
      </c>
    </row>
    <row r="299" customFormat="false" ht="15" hidden="false" customHeight="true" outlineLevel="0" collapsed="false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1" t="str">
        <f aca="false">IF(V299="","",6-V299)</f>
        <v/>
      </c>
      <c r="AI299" s="11" t="str">
        <f aca="false">IF(W299="","",6-W299)</f>
        <v/>
      </c>
      <c r="AJ299" s="11" t="str">
        <f aca="false">IF(X299="","",6-X299)</f>
        <v/>
      </c>
      <c r="AK299" s="11" t="str">
        <f aca="false">IF(Y299="","",6-Y299)</f>
        <v/>
      </c>
      <c r="AL299" s="11" t="str">
        <f aca="false">IF(COUNT(H299:O299)=8,SUM(H299:O299),"")</f>
        <v/>
      </c>
      <c r="AM299" s="11" t="str">
        <f aca="false">IF(COUNT(P299:U299,AH299:AK299)=10,SUM(P299:U299,AH299:AK299),"")</f>
        <v/>
      </c>
      <c r="AN299" s="11" t="str">
        <f aca="false">IF(COUNT(Z299:AG299)=8,SUM(Z299:AG299),"")</f>
        <v/>
      </c>
      <c r="AO299" s="12" t="str">
        <f aca="false">IF(AL299="","",AL299/8)</f>
        <v/>
      </c>
      <c r="AP299" s="12" t="str">
        <f aca="false">IF(AM299="","",AM299/10)</f>
        <v/>
      </c>
      <c r="AQ299" s="12" t="str">
        <f aca="false">IF(AN299="","",AN299/8)</f>
        <v/>
      </c>
      <c r="AR299" s="11" t="str">
        <f aca="false">IF(A299="","",IF(OR(F299=1,G299=1,AND(E299&lt;&gt;"",E299&lt;=2)),2,IF(AND(E299&gt;=3,G299=2,OR(F299=2,F299=3)),1,"")))</f>
        <v/>
      </c>
      <c r="AS299" s="11" t="str">
        <f aca="false">IF(AR299=1,"טיפוסי",IF(AR299=2,"מתקשה",""))</f>
        <v/>
      </c>
      <c r="AT299" s="12" t="str">
        <f aca="false">IF(AR299=1,AO299,"")</f>
        <v/>
      </c>
      <c r="AU299" s="12" t="str">
        <f aca="false">IF(AR299=2,AO299,"")</f>
        <v/>
      </c>
      <c r="AV299" s="12" t="str">
        <f aca="false">IF(AR299=1,AP299,"")</f>
        <v/>
      </c>
      <c r="AW299" s="12" t="str">
        <f aca="false">IF(AR299=2,AP299,"")</f>
        <v/>
      </c>
      <c r="AX299" s="12" t="str">
        <f aca="false">IF(AR299=1,AQ299,"")</f>
        <v/>
      </c>
      <c r="AY299" s="12" t="str">
        <f aca="false">IF(AR299=2,AQ299,"")</f>
        <v/>
      </c>
    </row>
    <row r="300" customFormat="false" ht="15" hidden="false" customHeight="true" outlineLevel="0" collapsed="false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1" t="str">
        <f aca="false">IF(V300="","",6-V300)</f>
        <v/>
      </c>
      <c r="AI300" s="11" t="str">
        <f aca="false">IF(W300="","",6-W300)</f>
        <v/>
      </c>
      <c r="AJ300" s="11" t="str">
        <f aca="false">IF(X300="","",6-X300)</f>
        <v/>
      </c>
      <c r="AK300" s="11" t="str">
        <f aca="false">IF(Y300="","",6-Y300)</f>
        <v/>
      </c>
      <c r="AL300" s="11" t="str">
        <f aca="false">IF(COUNT(H300:O300)=8,SUM(H300:O300),"")</f>
        <v/>
      </c>
      <c r="AM300" s="11" t="str">
        <f aca="false">IF(COUNT(P300:U300,AH300:AK300)=10,SUM(P300:U300,AH300:AK300),"")</f>
        <v/>
      </c>
      <c r="AN300" s="11" t="str">
        <f aca="false">IF(COUNT(Z300:AG300)=8,SUM(Z300:AG300),"")</f>
        <v/>
      </c>
      <c r="AO300" s="12" t="str">
        <f aca="false">IF(AL300="","",AL300/8)</f>
        <v/>
      </c>
      <c r="AP300" s="12" t="str">
        <f aca="false">IF(AM300="","",AM300/10)</f>
        <v/>
      </c>
      <c r="AQ300" s="12" t="str">
        <f aca="false">IF(AN300="","",AN300/8)</f>
        <v/>
      </c>
      <c r="AR300" s="11" t="str">
        <f aca="false">IF(A300="","",IF(OR(F300=1,G300=1,AND(E300&lt;&gt;"",E300&lt;=2)),2,IF(AND(E300&gt;=3,G300=2,OR(F300=2,F300=3)),1,"")))</f>
        <v/>
      </c>
      <c r="AS300" s="11" t="str">
        <f aca="false">IF(AR300=1,"טיפוסי",IF(AR300=2,"מתקשה",""))</f>
        <v/>
      </c>
      <c r="AT300" s="12" t="str">
        <f aca="false">IF(AR300=1,AO300,"")</f>
        <v/>
      </c>
      <c r="AU300" s="12" t="str">
        <f aca="false">IF(AR300=2,AO300,"")</f>
        <v/>
      </c>
      <c r="AV300" s="12" t="str">
        <f aca="false">IF(AR300=1,AP300,"")</f>
        <v/>
      </c>
      <c r="AW300" s="12" t="str">
        <f aca="false">IF(AR300=2,AP300,"")</f>
        <v/>
      </c>
      <c r="AX300" s="12" t="str">
        <f aca="false">IF(AR300=1,AQ300,"")</f>
        <v/>
      </c>
      <c r="AY300" s="12" t="str">
        <f aca="false">IF(AR300=2,AQ300,"")</f>
        <v/>
      </c>
    </row>
    <row r="301" customFormat="false" ht="15" hidden="false" customHeight="true" outlineLevel="0" collapsed="false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1" t="str">
        <f aca="false">IF(V301="","",6-V301)</f>
        <v/>
      </c>
      <c r="AI301" s="11" t="str">
        <f aca="false">IF(W301="","",6-W301)</f>
        <v/>
      </c>
      <c r="AJ301" s="11" t="str">
        <f aca="false">IF(X301="","",6-X301)</f>
        <v/>
      </c>
      <c r="AK301" s="11" t="str">
        <f aca="false">IF(Y301="","",6-Y301)</f>
        <v/>
      </c>
      <c r="AL301" s="11" t="str">
        <f aca="false">IF(COUNT(H301:O301)=8,SUM(H301:O301),"")</f>
        <v/>
      </c>
      <c r="AM301" s="11" t="str">
        <f aca="false">IF(COUNT(P301:U301,AH301:AK301)=10,SUM(P301:U301,AH301:AK301),"")</f>
        <v/>
      </c>
      <c r="AN301" s="11" t="str">
        <f aca="false">IF(COUNT(Z301:AG301)=8,SUM(Z301:AG301),"")</f>
        <v/>
      </c>
      <c r="AO301" s="12" t="str">
        <f aca="false">IF(AL301="","",AL301/8)</f>
        <v/>
      </c>
      <c r="AP301" s="12" t="str">
        <f aca="false">IF(AM301="","",AM301/10)</f>
        <v/>
      </c>
      <c r="AQ301" s="12" t="str">
        <f aca="false">IF(AN301="","",AN301/8)</f>
        <v/>
      </c>
      <c r="AR301" s="11" t="str">
        <f aca="false">IF(A301="","",IF(OR(F301=1,G301=1,AND(E301&lt;&gt;"",E301&lt;=2)),2,IF(AND(E301&gt;=3,G301=2,OR(F301=2,F301=3)),1,"")))</f>
        <v/>
      </c>
      <c r="AS301" s="11" t="str">
        <f aca="false">IF(AR301=1,"טיפוסי",IF(AR301=2,"מתקשה",""))</f>
        <v/>
      </c>
      <c r="AT301" s="12" t="str">
        <f aca="false">IF(AR301=1,AO301,"")</f>
        <v/>
      </c>
      <c r="AU301" s="12" t="str">
        <f aca="false">IF(AR301=2,AO301,"")</f>
        <v/>
      </c>
      <c r="AV301" s="12" t="str">
        <f aca="false">IF(AR301=1,AP301,"")</f>
        <v/>
      </c>
      <c r="AW301" s="12" t="str">
        <f aca="false">IF(AR301=2,AP301,"")</f>
        <v/>
      </c>
      <c r="AX301" s="12" t="str">
        <f aca="false">IF(AR301=1,AQ301,"")</f>
        <v/>
      </c>
      <c r="AY301" s="12" t="str">
        <f aca="false">IF(AR301=2,AQ301,"")</f>
        <v/>
      </c>
    </row>
    <row r="302" customFormat="false" ht="15" hidden="false" customHeight="true" outlineLevel="0" collapsed="false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1" t="str">
        <f aca="false">IF(V302="","",6-V302)</f>
        <v/>
      </c>
      <c r="AI302" s="11" t="str">
        <f aca="false">IF(W302="","",6-W302)</f>
        <v/>
      </c>
      <c r="AJ302" s="11" t="str">
        <f aca="false">IF(X302="","",6-X302)</f>
        <v/>
      </c>
      <c r="AK302" s="11" t="str">
        <f aca="false">IF(Y302="","",6-Y302)</f>
        <v/>
      </c>
      <c r="AL302" s="11" t="str">
        <f aca="false">IF(COUNT(H302:O302)=8,SUM(H302:O302),"")</f>
        <v/>
      </c>
      <c r="AM302" s="11" t="str">
        <f aca="false">IF(COUNT(P302:U302,AH302:AK302)=10,SUM(P302:U302,AH302:AK302),"")</f>
        <v/>
      </c>
      <c r="AN302" s="11" t="str">
        <f aca="false">IF(COUNT(Z302:AG302)=8,SUM(Z302:AG302),"")</f>
        <v/>
      </c>
      <c r="AO302" s="12" t="str">
        <f aca="false">IF(AL302="","",AL302/8)</f>
        <v/>
      </c>
      <c r="AP302" s="12" t="str">
        <f aca="false">IF(AM302="","",AM302/10)</f>
        <v/>
      </c>
      <c r="AQ302" s="12" t="str">
        <f aca="false">IF(AN302="","",AN302/8)</f>
        <v/>
      </c>
      <c r="AR302" s="11" t="str">
        <f aca="false">IF(A302="","",IF(OR(F302=1,G302=1,AND(E302&lt;&gt;"",E302&lt;=2)),2,IF(AND(E302&gt;=3,G302=2,OR(F302=2,F302=3)),1,"")))</f>
        <v/>
      </c>
      <c r="AS302" s="11" t="str">
        <f aca="false">IF(AR302=1,"טיפוסי",IF(AR302=2,"מתקשה",""))</f>
        <v/>
      </c>
      <c r="AT302" s="12" t="str">
        <f aca="false">IF(AR302=1,AO302,"")</f>
        <v/>
      </c>
      <c r="AU302" s="12" t="str">
        <f aca="false">IF(AR302=2,AO302,"")</f>
        <v/>
      </c>
      <c r="AV302" s="12" t="str">
        <f aca="false">IF(AR302=1,AP302,"")</f>
        <v/>
      </c>
      <c r="AW302" s="12" t="str">
        <f aca="false">IF(AR302=2,AP302,"")</f>
        <v/>
      </c>
      <c r="AX302" s="12" t="str">
        <f aca="false">IF(AR302=1,AQ302,"")</f>
        <v/>
      </c>
      <c r="AY302" s="12" t="str">
        <f aca="false">IF(AR302=2,AQ302,"")</f>
        <v/>
      </c>
    </row>
  </sheetData>
  <dataValidations count="7">
    <dataValidation allowBlank="true" error="1=בן, 2=בת" errorStyle="stop" errorTitle="ערך לא תקין" operator="between" showDropDown="false" showErrorMessage="true" showInputMessage="false" sqref="B3:B302" type="whole">
      <formula1>1</formula1>
      <formula2>2</formula2>
    </dataValidation>
    <dataValidation allowBlank="true" error="1=ז', 2=ח', 3=ט'" errorStyle="stop" errorTitle="ערך לא תקין" operator="between" showDropDown="false" showErrorMessage="true" showInputMessage="false" sqref="C3:C302" type="whole">
      <formula1>1</formula1>
      <formula2>3</formula2>
    </dataValidation>
    <dataValidation allowBlank="true" error="גיל בין 10 ל-17" errorStyle="stop" errorTitle="ערך לא תקין" operator="between" showDropDown="false" showErrorMessage="true" showInputMessage="false" sqref="D3:D302" type="whole">
      <formula1>10</formula1>
      <formula2>17</formula2>
    </dataValidation>
    <dataValidation allowBlank="true" error="1–4 לפי טווח הציון" errorStyle="stop" errorTitle="ערך לא תקין" operator="between" showDropDown="false" showErrorMessage="true" showInputMessage="false" sqref="E3:E302" type="whole">
      <formula1>1</formula1>
      <formula2>4</formula2>
    </dataValidation>
    <dataValidation allowBlank="true" error="1=כן, 2=לא, 3=לא יודע/ת" errorStyle="stop" errorTitle="ערך לא תקין" operator="between" showDropDown="false" showErrorMessage="true" showInputMessage="false" sqref="F3:F302" type="whole">
      <formula1>1</formula1>
      <formula2>3</formula2>
    </dataValidation>
    <dataValidation allowBlank="true" error="1=כן, 2=לא" errorStyle="stop" errorTitle="ערך לא תקין" operator="between" showDropDown="false" showErrorMessage="true" showInputMessage="false" sqref="G3:G302" type="whole">
      <formula1>1</formula1>
      <formula2>2</formula2>
    </dataValidation>
    <dataValidation allowBlank="true" error="היגדים: מספר שלם בין 1 ל-5" errorStyle="stop" errorTitle="ערך לא תקין" operator="between" showDropDown="false" showErrorMessage="true" showInputMessage="false" sqref="H3:AG302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4"/>
  </cols>
  <sheetData>
    <row r="1" customFormat="false" ht="17.25" hidden="false" customHeight="true" outlineLevel="0" collapsed="false">
      <c r="A1" s="13" t="s">
        <v>116</v>
      </c>
    </row>
    <row r="2" customFormat="false" ht="15" hidden="false" customHeight="true" outlineLevel="0" collapsed="false">
      <c r="A2" s="14" t="s">
        <v>117</v>
      </c>
    </row>
    <row r="4" customFormat="false" ht="15" hidden="false" customHeight="true" outlineLevel="0" collapsed="false">
      <c r="A4" s="5" t="s">
        <v>118</v>
      </c>
      <c r="B4" s="5" t="s">
        <v>119</v>
      </c>
      <c r="C4" s="5" t="s">
        <v>120</v>
      </c>
      <c r="D4" s="5" t="s">
        <v>121</v>
      </c>
      <c r="E4" s="5" t="s">
        <v>122</v>
      </c>
      <c r="F4" s="5" t="s">
        <v>123</v>
      </c>
    </row>
    <row r="5" customFormat="false" ht="15" hidden="false" customHeight="true" outlineLevel="0" collapsed="false">
      <c r="A5" s="15" t="s">
        <v>124</v>
      </c>
      <c r="B5" s="16" t="n">
        <f aca="false">COUNT(נתונים!$AO$3:$AO$302)</f>
        <v>102</v>
      </c>
      <c r="C5" s="17" t="n">
        <f aca="false">IFERROR(AVERAGE(נתונים!$AO$3:$AO$302),"")</f>
        <v>3.52328431372549</v>
      </c>
      <c r="D5" s="17" t="n">
        <f aca="false">IFERROR(STDEV(נתונים!$AO$3:$AO$302),"")</f>
        <v>0.733677666530314</v>
      </c>
      <c r="E5" s="17" t="n">
        <f aca="false">IF(B5=0,"",MIN(נתונים!$AO$3:$AO$302))</f>
        <v>1.875</v>
      </c>
      <c r="F5" s="17" t="n">
        <f aca="false">IF(B5=0,"",MAX(נתונים!$AO$3:$AO$302))</f>
        <v>5</v>
      </c>
    </row>
    <row r="6" customFormat="false" ht="15" hidden="false" customHeight="true" outlineLevel="0" collapsed="false">
      <c r="A6" s="15" t="s">
        <v>125</v>
      </c>
      <c r="B6" s="16" t="n">
        <f aca="false">COUNT(נתונים!$AP$3:$AP$302)</f>
        <v>99</v>
      </c>
      <c r="C6" s="17" t="n">
        <f aca="false">IFERROR(AVERAGE(נתונים!$AP$3:$AP$302),"")</f>
        <v>3.18686868686869</v>
      </c>
      <c r="D6" s="17" t="n">
        <f aca="false">IFERROR(STDEV(נתונים!$AP$3:$AP$302),"")</f>
        <v>0.774681826016658</v>
      </c>
      <c r="E6" s="17" t="n">
        <f aca="false">IF(B6=0,"",MIN(נתונים!$AP$3:$AP$302))</f>
        <v>1.5</v>
      </c>
      <c r="F6" s="17" t="n">
        <f aca="false">IF(B6=0,"",MAX(נתונים!$AP$3:$AP$302))</f>
        <v>4.7</v>
      </c>
    </row>
    <row r="7" customFormat="false" ht="15" hidden="false" customHeight="true" outlineLevel="0" collapsed="false">
      <c r="A7" s="15" t="s">
        <v>126</v>
      </c>
      <c r="B7" s="16" t="n">
        <f aca="false">COUNT(נתונים!$AQ$3:$AQ$302)</f>
        <v>101</v>
      </c>
      <c r="C7" s="17" t="n">
        <f aca="false">IFERROR(AVERAGE(נתונים!$AQ$3:$AQ$302),"")</f>
        <v>3.51361386138614</v>
      </c>
      <c r="D7" s="17" t="n">
        <f aca="false">IFERROR(STDEV(נתונים!$AQ$3:$AQ$302),"")</f>
        <v>0.671495762760973</v>
      </c>
      <c r="E7" s="17" t="n">
        <f aca="false">IF(B7=0,"",MIN(נתונים!$AQ$3:$AQ$302))</f>
        <v>1.875</v>
      </c>
      <c r="F7" s="17" t="n">
        <f aca="false">IF(B7=0,"",MAX(נתונים!$AQ$3:$AQ$302))</f>
        <v>5</v>
      </c>
    </row>
    <row r="9" customFormat="false" ht="15" hidden="false" customHeight="true" outlineLevel="0" collapsed="false">
      <c r="A9" s="18" t="s">
        <v>127</v>
      </c>
    </row>
    <row r="10" customFormat="false" ht="15" hidden="false" customHeight="true" outlineLevel="0" collapsed="false">
      <c r="B10" s="5" t="s">
        <v>128</v>
      </c>
      <c r="C10" s="5"/>
      <c r="D10" s="5"/>
      <c r="E10" s="5" t="s">
        <v>129</v>
      </c>
      <c r="F10" s="5"/>
      <c r="G10" s="5"/>
    </row>
    <row r="11" customFormat="false" ht="15" hidden="false" customHeight="true" outlineLevel="0" collapsed="false">
      <c r="A11" s="5" t="s">
        <v>118</v>
      </c>
      <c r="B11" s="5" t="s">
        <v>119</v>
      </c>
      <c r="C11" s="5" t="s">
        <v>120</v>
      </c>
      <c r="D11" s="5" t="s">
        <v>121</v>
      </c>
      <c r="E11" s="5" t="s">
        <v>119</v>
      </c>
      <c r="F11" s="5" t="s">
        <v>120</v>
      </c>
      <c r="G11" s="5" t="s">
        <v>121</v>
      </c>
    </row>
    <row r="12" customFormat="false" ht="15" hidden="false" customHeight="true" outlineLevel="0" collapsed="false">
      <c r="A12" s="15" t="s">
        <v>124</v>
      </c>
      <c r="B12" s="16" t="n">
        <f aca="false">COUNT(נתונים!$AT$3:$AT$302)</f>
        <v>72</v>
      </c>
      <c r="C12" s="17" t="n">
        <f aca="false">IFERROR(AVERAGE(נתונים!$AT$3:$AT$302),"")</f>
        <v>3.609375</v>
      </c>
      <c r="D12" s="17" t="n">
        <f aca="false">IFERROR(STDEV(נתונים!$AT$3:$AT$302),"")</f>
        <v>0.695159793921158</v>
      </c>
      <c r="E12" s="16" t="n">
        <f aca="false">COUNT(נתונים!$AU$3:$AU$302)</f>
        <v>30</v>
      </c>
      <c r="F12" s="17" t="n">
        <f aca="false">IFERROR(AVERAGE(נתונים!$AU$3:$AU$302),"")</f>
        <v>3.31666666666667</v>
      </c>
      <c r="G12" s="17" t="n">
        <f aca="false">IFERROR(STDEV(נתונים!$AU$3:$AU$302),"")</f>
        <v>0.793109695127822</v>
      </c>
    </row>
    <row r="13" customFormat="false" ht="15" hidden="false" customHeight="true" outlineLevel="0" collapsed="false">
      <c r="A13" s="15" t="s">
        <v>125</v>
      </c>
      <c r="B13" s="16" t="n">
        <f aca="false">COUNT(נתונים!$AV$3:$AV$302)</f>
        <v>71</v>
      </c>
      <c r="C13" s="17" t="n">
        <f aca="false">IFERROR(AVERAGE(נתונים!$AV$3:$AV$302),"")</f>
        <v>3.25492957746479</v>
      </c>
      <c r="D13" s="17" t="n">
        <f aca="false">IFERROR(STDEV(נתונים!$AV$3:$AV$302),"")</f>
        <v>0.744846816925537</v>
      </c>
      <c r="E13" s="16" t="n">
        <f aca="false">COUNT(נתונים!$AW$3:$AW$302)</f>
        <v>28</v>
      </c>
      <c r="F13" s="17" t="n">
        <f aca="false">IFERROR(AVERAGE(נתונים!$AW$3:$AW$302),"")</f>
        <v>3.01428571428571</v>
      </c>
      <c r="G13" s="17" t="n">
        <f aca="false">IFERROR(STDEV(נתונים!$AW$3:$AW$302),"")</f>
        <v>0.834760682366747</v>
      </c>
    </row>
    <row r="14" customFormat="false" ht="15" hidden="false" customHeight="true" outlineLevel="0" collapsed="false">
      <c r="A14" s="15" t="s">
        <v>126</v>
      </c>
      <c r="B14" s="16" t="n">
        <f aca="false">COUNT(נתונים!$AX$3:$AX$302)</f>
        <v>71</v>
      </c>
      <c r="C14" s="17" t="n">
        <f aca="false">IFERROR(AVERAGE(נתונים!$AX$3:$AX$302),"")</f>
        <v>3.63908450704225</v>
      </c>
      <c r="D14" s="17" t="n">
        <f aca="false">IFERROR(STDEV(נתונים!$AX$3:$AX$302),"")</f>
        <v>0.681237482117839</v>
      </c>
      <c r="E14" s="16" t="n">
        <f aca="false">COUNT(נתונים!$AY$3:$AY$302)</f>
        <v>30</v>
      </c>
      <c r="F14" s="17" t="n">
        <f aca="false">IFERROR(AVERAGE(נתונים!$AY$3:$AY$302),"")</f>
        <v>3.21666666666667</v>
      </c>
      <c r="G14" s="17" t="n">
        <f aca="false">IFERROR(STDEV(נתונים!$AY$3:$AY$302),"")</f>
        <v>0.552163976977188</v>
      </c>
    </row>
    <row r="16" customFormat="false" ht="15" hidden="false" customHeight="true" outlineLevel="0" collapsed="false">
      <c r="A16" s="18" t="s">
        <v>130</v>
      </c>
    </row>
    <row r="17" customFormat="false" ht="15" hidden="false" customHeight="true" outlineLevel="0" collapsed="false">
      <c r="A17" s="5" t="s">
        <v>131</v>
      </c>
      <c r="B17" s="5" t="s">
        <v>132</v>
      </c>
      <c r="C17" s="5" t="s">
        <v>133</v>
      </c>
    </row>
    <row r="18" customFormat="false" ht="15" hidden="false" customHeight="true" outlineLevel="0" collapsed="false">
      <c r="A18" s="15" t="s">
        <v>134</v>
      </c>
      <c r="B18" s="16" t="n">
        <f aca="false">COUNT(נתונים!$A$3:$A$302)</f>
        <v>102</v>
      </c>
      <c r="C18" s="16"/>
    </row>
    <row r="19" customFormat="false" ht="15" hidden="false" customHeight="true" outlineLevel="0" collapsed="false">
      <c r="A19" s="19" t="s">
        <v>66</v>
      </c>
      <c r="B19" s="6"/>
      <c r="C19" s="6"/>
    </row>
    <row r="20" customFormat="false" ht="15" hidden="false" customHeight="true" outlineLevel="0" collapsed="false">
      <c r="A20" s="20" t="s">
        <v>135</v>
      </c>
      <c r="B20" s="16" t="n">
        <f aca="false">COUNTIF(נתונים!$B$3:$B$302,1)</f>
        <v>51</v>
      </c>
      <c r="C20" s="21" t="n">
        <f aca="false">IF($B$18=0,"",B20/$B$18)</f>
        <v>0.5</v>
      </c>
    </row>
    <row r="21" customFormat="false" ht="15" hidden="false" customHeight="true" outlineLevel="0" collapsed="false">
      <c r="A21" s="20" t="s">
        <v>136</v>
      </c>
      <c r="B21" s="16" t="n">
        <f aca="false">COUNTIF(נתונים!$B$3:$B$302,2)</f>
        <v>51</v>
      </c>
      <c r="C21" s="21" t="n">
        <f aca="false">IF($B$18=0,"",B21/$B$18)</f>
        <v>0.5</v>
      </c>
    </row>
    <row r="22" customFormat="false" ht="15" hidden="false" customHeight="true" outlineLevel="0" collapsed="false">
      <c r="A22" s="19" t="s">
        <v>67</v>
      </c>
      <c r="B22" s="6"/>
      <c r="C22" s="6"/>
    </row>
    <row r="23" customFormat="false" ht="15" hidden="false" customHeight="true" outlineLevel="0" collapsed="false">
      <c r="A23" s="20" t="s">
        <v>137</v>
      </c>
      <c r="B23" s="16" t="n">
        <f aca="false">COUNTIF(נתונים!$C$3:$C$302,1)</f>
        <v>35</v>
      </c>
      <c r="C23" s="21" t="n">
        <f aca="false">IF($B$18=0,"",B23/$B$18)</f>
        <v>0.343137254901961</v>
      </c>
    </row>
    <row r="24" customFormat="false" ht="15" hidden="false" customHeight="true" outlineLevel="0" collapsed="false">
      <c r="A24" s="20" t="s">
        <v>138</v>
      </c>
      <c r="B24" s="16" t="n">
        <f aca="false">COUNTIF(נתונים!$C$3:$C$302,2)</f>
        <v>34</v>
      </c>
      <c r="C24" s="21" t="n">
        <f aca="false">IF($B$18=0,"",B24/$B$18)</f>
        <v>0.333333333333333</v>
      </c>
    </row>
    <row r="25" customFormat="false" ht="15" hidden="false" customHeight="true" outlineLevel="0" collapsed="false">
      <c r="A25" s="20" t="s">
        <v>139</v>
      </c>
      <c r="B25" s="16" t="n">
        <f aca="false">COUNTIF(נתונים!$C$3:$C$302,3)</f>
        <v>33</v>
      </c>
      <c r="C25" s="21" t="n">
        <f aca="false">IF($B$18=0,"",B25/$B$18)</f>
        <v>0.323529411764706</v>
      </c>
    </row>
    <row r="26" customFormat="false" ht="15" hidden="false" customHeight="true" outlineLevel="0" collapsed="false">
      <c r="A26" s="19" t="s">
        <v>140</v>
      </c>
      <c r="B26" s="6"/>
      <c r="C26" s="6"/>
    </row>
    <row r="27" customFormat="false" ht="15" hidden="false" customHeight="true" outlineLevel="0" collapsed="false">
      <c r="A27" s="20" t="s">
        <v>141</v>
      </c>
      <c r="B27" s="16" t="n">
        <f aca="false">COUNTIF(נתונים!$E$3:$E$302,1)</f>
        <v>4</v>
      </c>
      <c r="C27" s="21" t="n">
        <f aca="false">IF($B$18=0,"",B27/$B$18)</f>
        <v>0.0392156862745098</v>
      </c>
    </row>
    <row r="28" customFormat="false" ht="15" hidden="false" customHeight="true" outlineLevel="0" collapsed="false">
      <c r="A28" s="20" t="s">
        <v>142</v>
      </c>
      <c r="B28" s="16" t="n">
        <f aca="false">COUNTIF(נתונים!$E$3:$E$302,2)</f>
        <v>16</v>
      </c>
      <c r="C28" s="21" t="n">
        <f aca="false">IF($B$18=0,"",B28/$B$18)</f>
        <v>0.156862745098039</v>
      </c>
    </row>
    <row r="29" customFormat="false" ht="15" hidden="false" customHeight="true" outlineLevel="0" collapsed="false">
      <c r="A29" s="20" t="s">
        <v>143</v>
      </c>
      <c r="B29" s="16" t="n">
        <f aca="false">COUNTIF(נתונים!$E$3:$E$302,3)</f>
        <v>58</v>
      </c>
      <c r="C29" s="21" t="n">
        <f aca="false">IF($B$18=0,"",B29/$B$18)</f>
        <v>0.568627450980392</v>
      </c>
    </row>
    <row r="30" customFormat="false" ht="15" hidden="false" customHeight="true" outlineLevel="0" collapsed="false">
      <c r="A30" s="20" t="s">
        <v>144</v>
      </c>
      <c r="B30" s="16" t="n">
        <f aca="false">COUNTIF(נתונים!$E$3:$E$302,4)</f>
        <v>24</v>
      </c>
      <c r="C30" s="21" t="n">
        <f aca="false">IF($B$18=0,"",B30/$B$18)</f>
        <v>0.235294117647059</v>
      </c>
    </row>
    <row r="31" customFormat="false" ht="15" hidden="false" customHeight="true" outlineLevel="0" collapsed="false">
      <c r="A31" s="19" t="s">
        <v>145</v>
      </c>
      <c r="B31" s="6"/>
      <c r="C31" s="6"/>
    </row>
    <row r="32" customFormat="false" ht="15" hidden="false" customHeight="true" outlineLevel="0" collapsed="false">
      <c r="A32" s="20" t="s">
        <v>146</v>
      </c>
      <c r="B32" s="16" t="n">
        <f aca="false">COUNTIF(נתונים!$F$3:$F$302,1)</f>
        <v>14</v>
      </c>
      <c r="C32" s="21" t="n">
        <f aca="false">IF($B$18=0,"",B32/$B$18)</f>
        <v>0.137254901960784</v>
      </c>
    </row>
    <row r="33" customFormat="false" ht="15" hidden="false" customHeight="true" outlineLevel="0" collapsed="false">
      <c r="A33" s="20" t="s">
        <v>147</v>
      </c>
      <c r="B33" s="16" t="n">
        <f aca="false">COUNTIF(נתונים!$F$3:$F$302,2)</f>
        <v>72</v>
      </c>
      <c r="C33" s="21" t="n">
        <f aca="false">IF($B$18=0,"",B33/$B$18)</f>
        <v>0.705882352941177</v>
      </c>
    </row>
    <row r="34" customFormat="false" ht="15" hidden="false" customHeight="true" outlineLevel="0" collapsed="false">
      <c r="A34" s="20" t="s">
        <v>148</v>
      </c>
      <c r="B34" s="16" t="n">
        <f aca="false">COUNTIF(נתונים!$F$3:$F$302,3)</f>
        <v>16</v>
      </c>
      <c r="C34" s="21" t="n">
        <f aca="false">IF($B$18=0,"",B34/$B$18)</f>
        <v>0.156862745098039</v>
      </c>
    </row>
    <row r="35" customFormat="false" ht="15" hidden="false" customHeight="true" outlineLevel="0" collapsed="false">
      <c r="A35" s="19" t="s">
        <v>149</v>
      </c>
      <c r="B35" s="6"/>
      <c r="C35" s="6"/>
    </row>
    <row r="36" customFormat="false" ht="15" hidden="false" customHeight="true" outlineLevel="0" collapsed="false">
      <c r="A36" s="20" t="s">
        <v>146</v>
      </c>
      <c r="B36" s="16" t="n">
        <f aca="false">COUNTIF(נתונים!$G$3:$G$302,1)</f>
        <v>13</v>
      </c>
      <c r="C36" s="21" t="n">
        <f aca="false">IF($B$18=0,"",B36/$B$18)</f>
        <v>0.127450980392157</v>
      </c>
    </row>
    <row r="37" customFormat="false" ht="15" hidden="false" customHeight="true" outlineLevel="0" collapsed="false">
      <c r="A37" s="20" t="s">
        <v>147</v>
      </c>
      <c r="B37" s="16" t="n">
        <f aca="false">COUNTIF(נתונים!$G$3:$G$302,2)</f>
        <v>89</v>
      </c>
      <c r="C37" s="21" t="n">
        <f aca="false">IF($B$18=0,"",B37/$B$18)</f>
        <v>0.872549019607843</v>
      </c>
    </row>
    <row r="38" customFormat="false" ht="15" hidden="false" customHeight="true" outlineLevel="0" collapsed="false">
      <c r="A38" s="19" t="s">
        <v>109</v>
      </c>
      <c r="B38" s="6"/>
      <c r="C38" s="6"/>
    </row>
    <row r="39" customFormat="false" ht="15" hidden="false" customHeight="true" outlineLevel="0" collapsed="false">
      <c r="A39" s="20" t="s">
        <v>150</v>
      </c>
      <c r="B39" s="16" t="n">
        <f aca="false">COUNTIF(נתונים!$AR$3:$AR$302,1)</f>
        <v>72</v>
      </c>
      <c r="C39" s="21" t="n">
        <f aca="false">IF($B$18=0,"",B39/$B$18)</f>
        <v>0.705882352941177</v>
      </c>
    </row>
    <row r="40" customFormat="false" ht="15" hidden="false" customHeight="true" outlineLevel="0" collapsed="false">
      <c r="A40" s="20" t="s">
        <v>151</v>
      </c>
      <c r="B40" s="16" t="n">
        <f aca="false">COUNTIF(נתונים!$AR$3:$AR$302,2)</f>
        <v>30</v>
      </c>
      <c r="C40" s="21" t="n">
        <f aca="false">IF($B$18=0,"",B40/$B$18)</f>
        <v>0.294117647058824</v>
      </c>
    </row>
    <row r="41" customFormat="false" ht="15" hidden="false" customHeight="true" outlineLevel="0" collapsed="false">
      <c r="A41" s="15" t="s">
        <v>152</v>
      </c>
      <c r="B41" s="17" t="n">
        <f aca="false">IFERROR(AVERAGE(נתונים!$D$3:$D$302),"")</f>
        <v>13.5588235294118</v>
      </c>
      <c r="C41" s="17" t="n">
        <f aca="false">IFERROR(STDEV(נתונים!$D$3:$D$302),"")</f>
        <v>0.960337496489467</v>
      </c>
    </row>
  </sheetData>
  <mergeCells count="2">
    <mergeCell ref="B10:D10"/>
    <mergeCell ref="E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3" min="2" style="1" width="10"/>
  </cols>
  <sheetData>
    <row r="1" customFormat="false" ht="16.5" hidden="false" customHeight="true" outlineLevel="0" collapsed="false">
      <c r="A1" s="13" t="s">
        <v>153</v>
      </c>
    </row>
    <row r="2" customFormat="false" ht="15" hidden="false" customHeight="true" outlineLevel="0" collapsed="false">
      <c r="A2" s="14" t="s">
        <v>154</v>
      </c>
    </row>
    <row r="4" customFormat="false" ht="15" hidden="false" customHeight="true" outlineLevel="0" collapsed="false">
      <c r="A4" s="5"/>
      <c r="B4" s="5" t="s">
        <v>155</v>
      </c>
      <c r="C4" s="5"/>
      <c r="D4" s="5"/>
      <c r="E4" s="5"/>
      <c r="F4" s="5" t="s">
        <v>128</v>
      </c>
      <c r="G4" s="5"/>
      <c r="H4" s="5"/>
      <c r="I4" s="5"/>
      <c r="J4" s="5" t="s">
        <v>129</v>
      </c>
      <c r="K4" s="5"/>
      <c r="L4" s="5"/>
      <c r="M4" s="5"/>
    </row>
    <row r="5" customFormat="false" ht="15" hidden="false" customHeight="true" outlineLevel="0" collapsed="false">
      <c r="A5" s="5" t="s">
        <v>156</v>
      </c>
      <c r="B5" s="5" t="s">
        <v>157</v>
      </c>
      <c r="C5" s="5" t="s">
        <v>132</v>
      </c>
      <c r="D5" s="5" t="s">
        <v>158</v>
      </c>
      <c r="E5" s="5" t="s">
        <v>159</v>
      </c>
      <c r="F5" s="5" t="s">
        <v>157</v>
      </c>
      <c r="G5" s="5" t="s">
        <v>132</v>
      </c>
      <c r="H5" s="5" t="s">
        <v>158</v>
      </c>
      <c r="I5" s="5" t="s">
        <v>159</v>
      </c>
      <c r="J5" s="5" t="s">
        <v>157</v>
      </c>
      <c r="K5" s="5" t="s">
        <v>132</v>
      </c>
      <c r="L5" s="5" t="s">
        <v>158</v>
      </c>
      <c r="M5" s="5" t="s">
        <v>159</v>
      </c>
    </row>
    <row r="6" customFormat="false" ht="15" hidden="false" customHeight="true" outlineLevel="0" collapsed="false">
      <c r="A6" s="15" t="s">
        <v>160</v>
      </c>
      <c r="B6" s="17" t="n">
        <f aca="false">IFERROR(CORREL(נתונים!$AO$3:$AO$302,נתונים!$AP$3:$AP$302),"")</f>
        <v>0.32794028622147</v>
      </c>
      <c r="C6" s="16" t="n">
        <f aca="false">SUMPRODUCT(ISNUMBER(נתונים!$AO$3:$AO$302)*ISNUMBER(נתונים!$AP$3:$AP$302))</f>
        <v>99</v>
      </c>
      <c r="D6" s="22" t="n">
        <f aca="false">IFERROR(TDIST(ABS(B6)*SQRT((C6-2)/(1-B6^2)),C6-2,2),"")</f>
        <v>0.00092082543674953</v>
      </c>
      <c r="E6" s="16" t="str">
        <f aca="false">IF(D6="","",IF(D6&lt;0.001,"***",IF(D6&lt;0.01,"**",IF(D6&lt;0.05,"*","n.s."))))</f>
        <v>***</v>
      </c>
      <c r="F6" s="17" t="n">
        <f aca="false">IFERROR(CORREL(נתונים!$AT$3:$AT$302,נתונים!$AV$3:$AV$302),"")</f>
        <v>0.19467254632282</v>
      </c>
      <c r="G6" s="16" t="n">
        <f aca="false">SUMPRODUCT(ISNUMBER(נתונים!$AT$3:$AT$302)*ISNUMBER(נתונים!$AV$3:$AV$302))</f>
        <v>71</v>
      </c>
      <c r="H6" s="22" t="n">
        <f aca="false">IFERROR(TDIST(ABS(F6)*SQRT((G6-2)/(1-F6^2)),G6-2,2),"")</f>
        <v>0.103773321879202</v>
      </c>
      <c r="I6" s="16" t="str">
        <f aca="false">IF(H6="","",IF(H6&lt;0.001,"***",IF(H6&lt;0.01,"**",IF(H6&lt;0.05,"*","n.s."))))</f>
        <v>n.s.</v>
      </c>
      <c r="J6" s="17" t="n">
        <f aca="false">IFERROR(CORREL(נתונים!$AU$3:$AU$302,נתונים!$AW$3:$AW$302),"")</f>
        <v>0.541356553562131</v>
      </c>
      <c r="K6" s="16" t="n">
        <f aca="false">SUMPRODUCT(ISNUMBER(נתונים!$AU$3:$AU$302)*ISNUMBER(נתונים!$AW$3:$AW$302))</f>
        <v>28</v>
      </c>
      <c r="L6" s="22" t="n">
        <f aca="false">IFERROR(TDIST(ABS(J6)*SQRT((K6-2)/(1-J6^2)),K6-2,2),"")</f>
        <v>0.00292994249008376</v>
      </c>
      <c r="M6" s="16" t="str">
        <f aca="false">IF(L6="","",IF(L6&lt;0.001,"***",IF(L6&lt;0.01,"**",IF(L6&lt;0.05,"*","n.s."))))</f>
        <v>**</v>
      </c>
    </row>
    <row r="7" customFormat="false" ht="15" hidden="false" customHeight="true" outlineLevel="0" collapsed="false">
      <c r="A7" s="15" t="s">
        <v>161</v>
      </c>
      <c r="B7" s="17" t="n">
        <f aca="false">IFERROR(CORREL(נתונים!$AO$3:$AO$302,נתונים!$AQ$3:$AQ$302),"")</f>
        <v>0.31748302635666</v>
      </c>
      <c r="C7" s="16" t="n">
        <f aca="false">SUMPRODUCT(ISNUMBER(נתונים!$AO$3:$AO$302)*ISNUMBER(נתונים!$AQ$3:$AQ$302))</f>
        <v>101</v>
      </c>
      <c r="D7" s="22" t="n">
        <f aca="false">IFERROR(TDIST(ABS(B7)*SQRT((C7-2)/(1-B7^2)),C7-2,2),"")</f>
        <v>0.00121610513149485</v>
      </c>
      <c r="E7" s="16" t="str">
        <f aca="false">IF(D7="","",IF(D7&lt;0.001,"***",IF(D7&lt;0.01,"**",IF(D7&lt;0.05,"*","n.s."))))</f>
        <v>**</v>
      </c>
      <c r="F7" s="17" t="n">
        <f aca="false">IFERROR(CORREL(נתונים!$AT$3:$AT$302,נתונים!$AX$3:$AX$302),"")</f>
        <v>0.333866093271132</v>
      </c>
      <c r="G7" s="16" t="n">
        <f aca="false">SUMPRODUCT(ISNUMBER(נתונים!$AT$3:$AT$302)*ISNUMBER(נתונים!$AX$3:$AX$302))</f>
        <v>71</v>
      </c>
      <c r="H7" s="22" t="n">
        <f aca="false">IFERROR(TDIST(ABS(F7)*SQRT((G7-2)/(1-F7^2)),G7-2,2),"")</f>
        <v>0.00443548987024255</v>
      </c>
      <c r="I7" s="16" t="str">
        <f aca="false">IF(H7="","",IF(H7&lt;0.001,"***",IF(H7&lt;0.01,"**",IF(H7&lt;0.05,"*","n.s."))))</f>
        <v>**</v>
      </c>
      <c r="J7" s="17" t="n">
        <f aca="false">IFERROR(CORREL(נתונים!$AU$3:$AU$302,נתונים!$AY$3:$AY$302),"")</f>
        <v>0.152888686054751</v>
      </c>
      <c r="K7" s="16" t="n">
        <f aca="false">SUMPRODUCT(ISNUMBER(נתונים!$AU$3:$AU$302)*ISNUMBER(נתונים!$AY$3:$AY$302))</f>
        <v>30</v>
      </c>
      <c r="L7" s="22" t="n">
        <f aca="false">IFERROR(TDIST(ABS(J7)*SQRT((K7-2)/(1-J7^2)),K7-2,2),"")</f>
        <v>0.419907582098047</v>
      </c>
      <c r="M7" s="16" t="str">
        <f aca="false">IF(L7="","",IF(L7&lt;0.001,"***",IF(L7&lt;0.01,"**",IF(L7&lt;0.05,"*","n.s."))))</f>
        <v>n.s.</v>
      </c>
    </row>
    <row r="8" customFormat="false" ht="15" hidden="false" customHeight="true" outlineLevel="0" collapsed="false">
      <c r="A8" s="15" t="s">
        <v>162</v>
      </c>
      <c r="B8" s="17" t="n">
        <f aca="false">IFERROR(CORREL(נתונים!$AP$3:$AP$302,נתונים!$AQ$3:$AQ$302),"")</f>
        <v>0.310556465040689</v>
      </c>
      <c r="C8" s="16" t="n">
        <f aca="false">SUMPRODUCT(ISNUMBER(נתונים!$AP$3:$AP$302)*ISNUMBER(נתונים!$AQ$3:$AQ$302))</f>
        <v>98</v>
      </c>
      <c r="D8" s="22" t="n">
        <f aca="false">IFERROR(TDIST(ABS(B8)*SQRT((C8-2)/(1-B8^2)),C8-2,2),"")</f>
        <v>0.0018567304789635</v>
      </c>
      <c r="E8" s="16" t="str">
        <f aca="false">IF(D8="","",IF(D8&lt;0.001,"***",IF(D8&lt;0.01,"**",IF(D8&lt;0.05,"*","n.s."))))</f>
        <v>**</v>
      </c>
      <c r="F8" s="17" t="n">
        <f aca="false">IFERROR(CORREL(נתונים!$AV$3:$AV$302,נתונים!$AX$3:$AX$302),"")</f>
        <v>0.361672666789066</v>
      </c>
      <c r="G8" s="16" t="n">
        <f aca="false">SUMPRODUCT(ISNUMBER(נתונים!$AV$3:$AV$302)*ISNUMBER(נתונים!$AX$3:$AX$302))</f>
        <v>70</v>
      </c>
      <c r="H8" s="22" t="n">
        <f aca="false">IFERROR(TDIST(ABS(F8)*SQRT((G8-2)/(1-F8^2)),G8-2,2),"")</f>
        <v>0.00209553004222511</v>
      </c>
      <c r="I8" s="16" t="str">
        <f aca="false">IF(H8="","",IF(H8&lt;0.001,"***",IF(H8&lt;0.01,"**",IF(H8&lt;0.05,"*","n.s."))))</f>
        <v>**</v>
      </c>
      <c r="J8" s="17" t="n">
        <f aca="false">IFERROR(CORREL(נתונים!$AW$3:$AW$302,נתונים!$AY$3:$AY$302),"")</f>
        <v>0.0739620594566799</v>
      </c>
      <c r="K8" s="16" t="n">
        <f aca="false">SUMPRODUCT(ISNUMBER(נתונים!$AW$3:$AW$302)*ISNUMBER(נתונים!$AY$3:$AY$302))</f>
        <v>28</v>
      </c>
      <c r="L8" s="22" t="n">
        <f aca="false">IFERROR(TDIST(ABS(J8)*SQRT((K8-2)/(1-J8^2)),K8-2,2),"")</f>
        <v>0.708374567817042</v>
      </c>
      <c r="M8" s="16" t="str">
        <f aca="false">IF(L8="","",IF(L8&lt;0.001,"***",IF(L8&lt;0.01,"**",IF(L8&lt;0.05,"*","n.s."))))</f>
        <v>n.s.</v>
      </c>
    </row>
    <row r="10" customFormat="false" ht="15" hidden="false" customHeight="true" outlineLevel="0" collapsed="false">
      <c r="A10" s="23" t="s">
        <v>163</v>
      </c>
    </row>
  </sheetData>
  <mergeCells count="3">
    <mergeCell ref="B4:E4"/>
    <mergeCell ref="F4:I4"/>
    <mergeCell ref="J4:M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2" min="2" style="1" width="12"/>
  </cols>
  <sheetData>
    <row r="1" customFormat="false" ht="16.5" hidden="false" customHeight="true" outlineLevel="0" collapsed="false">
      <c r="A1" s="13" t="s">
        <v>164</v>
      </c>
    </row>
    <row r="2" customFormat="false" ht="15" hidden="false" customHeight="true" outlineLevel="0" collapsed="false">
      <c r="A2" s="14" t="s">
        <v>165</v>
      </c>
    </row>
    <row r="4" customFormat="false" ht="26.25" hidden="false" customHeight="true" outlineLevel="0" collapsed="false">
      <c r="A4" s="5" t="s">
        <v>118</v>
      </c>
      <c r="B4" s="5" t="s">
        <v>166</v>
      </c>
      <c r="C4" s="5" t="s">
        <v>167</v>
      </c>
      <c r="D4" s="5" t="s">
        <v>168</v>
      </c>
      <c r="E4" s="5" t="s">
        <v>169</v>
      </c>
      <c r="F4" s="5" t="s">
        <v>170</v>
      </c>
      <c r="G4" s="5" t="s">
        <v>171</v>
      </c>
      <c r="H4" s="5" t="s">
        <v>172</v>
      </c>
      <c r="I4" s="5" t="s">
        <v>173</v>
      </c>
      <c r="J4" s="5" t="s">
        <v>158</v>
      </c>
      <c r="K4" s="5" t="s">
        <v>159</v>
      </c>
      <c r="L4" s="5" t="s">
        <v>174</v>
      </c>
    </row>
    <row r="5" customFormat="false" ht="15" hidden="false" customHeight="true" outlineLevel="0" collapsed="false">
      <c r="A5" s="15" t="s">
        <v>124</v>
      </c>
      <c r="B5" s="16" t="n">
        <f aca="false">COUNT(נתונים!$AT$3:$AT$302)</f>
        <v>72</v>
      </c>
      <c r="C5" s="17" t="n">
        <f aca="false">IFERROR(AVERAGE(נתונים!$AT$3:$AT$302),"")</f>
        <v>3.609375</v>
      </c>
      <c r="D5" s="17" t="n">
        <f aca="false">IFERROR(STDEV(נתונים!$AT$3:$AT$302),"")</f>
        <v>0.695159793921158</v>
      </c>
      <c r="E5" s="16" t="n">
        <f aca="false">COUNT(נתונים!$AU$3:$AU$302)</f>
        <v>30</v>
      </c>
      <c r="F5" s="17" t="n">
        <f aca="false">IFERROR(AVERAGE(נתונים!$AU$3:$AU$302),"")</f>
        <v>3.31666666666667</v>
      </c>
      <c r="G5" s="17" t="n">
        <f aca="false">IFERROR(STDEV(נתונים!$AU$3:$AU$302),"")</f>
        <v>0.793109695127822</v>
      </c>
      <c r="H5" s="17" t="n">
        <f aca="false">IFERROR((C5-F5)/SQRT((D5^2/B5)+(G5^2/E5)),"")</f>
        <v>1.75937464798848</v>
      </c>
      <c r="I5" s="24" t="n">
        <f aca="false">IFERROR(((D5^2/B5)+(G5^2/E5))^2/((D5^2/B5)^2/(B5-1)+(G5^2/E5)^2/(E5-1)),"")</f>
        <v>48.5074238140495</v>
      </c>
      <c r="J5" s="22" t="n">
        <f aca="false">IFERROR(TDIST(ABS(H5),I5,2),"")</f>
        <v>0.0848865948608272</v>
      </c>
      <c r="K5" s="16" t="str">
        <f aca="false">IF(J5="","",IF(J5&lt;0.001,"***",IF(J5&lt;0.01,"**",IF(J5&lt;0.05,"*","n.s."))))</f>
        <v>n.s.</v>
      </c>
      <c r="L5" s="17" t="n">
        <f aca="false">IFERROR((C5-F5)/SQRT(((B5-1)*D5^2+(E5-1)*G5^2)/(B5+E5-2)),"")</f>
        <v>0.403775143426849</v>
      </c>
    </row>
    <row r="6" customFormat="false" ht="15" hidden="false" customHeight="true" outlineLevel="0" collapsed="false">
      <c r="A6" s="15" t="s">
        <v>125</v>
      </c>
      <c r="B6" s="16" t="n">
        <f aca="false">COUNT(נתונים!$AV$3:$AV$302)</f>
        <v>71</v>
      </c>
      <c r="C6" s="17" t="n">
        <f aca="false">IFERROR(AVERAGE(נתונים!$AV$3:$AV$302),"")</f>
        <v>3.25492957746479</v>
      </c>
      <c r="D6" s="17" t="n">
        <f aca="false">IFERROR(STDEV(נתונים!$AV$3:$AV$302),"")</f>
        <v>0.744846816925537</v>
      </c>
      <c r="E6" s="16" t="n">
        <f aca="false">COUNT(נתונים!$AW$3:$AW$302)</f>
        <v>28</v>
      </c>
      <c r="F6" s="17" t="n">
        <f aca="false">IFERROR(AVERAGE(נתונים!$AW$3:$AW$302),"")</f>
        <v>3.01428571428571</v>
      </c>
      <c r="G6" s="17" t="n">
        <f aca="false">IFERROR(STDEV(נתונים!$AW$3:$AW$302),"")</f>
        <v>0.834760682366747</v>
      </c>
      <c r="H6" s="17" t="n">
        <f aca="false">IFERROR((C6-F6)/SQRT((D6^2/B6)+(G6^2/E6)),"")</f>
        <v>1.33075016489559</v>
      </c>
      <c r="I6" s="24" t="n">
        <f aca="false">IFERROR(((D6^2/B6)+(G6^2/E6))^2/((D6^2/B6)^2/(B6-1)+(G6^2/E6)^2/(E6-1)),"")</f>
        <v>44.9093265584558</v>
      </c>
      <c r="J6" s="22" t="n">
        <f aca="false">IFERROR(TDIST(ABS(H6),I6,2),"")</f>
        <v>0.190126659301098</v>
      </c>
      <c r="K6" s="16" t="str">
        <f aca="false">IF(J6="","",IF(J6&lt;0.001,"***",IF(J6&lt;0.01,"**",IF(J6&lt;0.05,"*","n.s."))))</f>
        <v>n.s.</v>
      </c>
      <c r="L6" s="17" t="n">
        <f aca="false">IFERROR((C6-F6)/SQRT(((B6-1)*D6^2+(E6-1)*G6^2)/(B6+E6-2)),"")</f>
        <v>0.312148156842713</v>
      </c>
    </row>
    <row r="7" customFormat="false" ht="15" hidden="false" customHeight="true" outlineLevel="0" collapsed="false">
      <c r="A7" s="15" t="s">
        <v>126</v>
      </c>
      <c r="B7" s="16" t="n">
        <f aca="false">COUNT(נתונים!$AX$3:$AX$302)</f>
        <v>71</v>
      </c>
      <c r="C7" s="17" t="n">
        <f aca="false">IFERROR(AVERAGE(נתונים!$AX$3:$AX$302),"")</f>
        <v>3.63908450704225</v>
      </c>
      <c r="D7" s="17" t="n">
        <f aca="false">IFERROR(STDEV(נתונים!$AX$3:$AX$302),"")</f>
        <v>0.681237482117839</v>
      </c>
      <c r="E7" s="16" t="n">
        <f aca="false">COUNT(נתונים!$AY$3:$AY$302)</f>
        <v>30</v>
      </c>
      <c r="F7" s="17" t="n">
        <f aca="false">IFERROR(AVERAGE(נתונים!$AY$3:$AY$302),"")</f>
        <v>3.21666666666667</v>
      </c>
      <c r="G7" s="17" t="n">
        <f aca="false">IFERROR(STDEV(נתונים!$AY$3:$AY$302),"")</f>
        <v>0.552163976977188</v>
      </c>
      <c r="H7" s="17" t="n">
        <f aca="false">IFERROR((C7-F7)/SQRT((D7^2/B7)+(G7^2/E7)),"")</f>
        <v>3.26884208630888</v>
      </c>
      <c r="I7" s="24" t="n">
        <f aca="false">IFERROR(((D7^2/B7)+(G7^2/E7))^2/((D7^2/B7)^2/(B7-1)+(G7^2/E7)^2/(E7-1)),"")</f>
        <v>66.8444719502232</v>
      </c>
      <c r="J7" s="22" t="n">
        <f aca="false">IFERROR(TDIST(ABS(H7),I7,2),"")</f>
        <v>0.00171700466907468</v>
      </c>
      <c r="K7" s="16" t="str">
        <f aca="false">IF(J7="","",IF(J7&lt;0.001,"***",IF(J7&lt;0.01,"**",IF(J7&lt;0.05,"*","n.s."))))</f>
        <v>**</v>
      </c>
      <c r="L7" s="17" t="n">
        <f aca="false">IFERROR((C7-F7)/SQRT(((B7-1)*D7^2+(E7-1)*G7^2)/(B7+E7-2)),"")</f>
        <v>0.653792373491513</v>
      </c>
    </row>
    <row r="9" customFormat="false" ht="15" hidden="false" customHeight="true" outlineLevel="0" collapsed="false">
      <c r="A9" s="23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6" min="2" style="1" width="18"/>
  </cols>
  <sheetData>
    <row r="1" customFormat="false" ht="17.25" hidden="false" customHeight="true" outlineLevel="0" collapsed="false">
      <c r="A1" s="13" t="s">
        <v>176</v>
      </c>
    </row>
    <row r="2" customFormat="false" ht="15" hidden="false" customHeight="true" outlineLevel="0" collapsed="false">
      <c r="A2" s="14" t="s">
        <v>177</v>
      </c>
    </row>
    <row r="4" customFormat="false" ht="26.25" hidden="false" customHeight="true" outlineLevel="0" collapsed="false">
      <c r="A4" s="5" t="s">
        <v>178</v>
      </c>
      <c r="B4" s="5" t="s">
        <v>179</v>
      </c>
      <c r="C4" s="5" t="s">
        <v>180</v>
      </c>
      <c r="D4" s="5" t="s">
        <v>181</v>
      </c>
      <c r="E4" s="5" t="s">
        <v>182</v>
      </c>
      <c r="F4" s="5" t="s">
        <v>183</v>
      </c>
    </row>
    <row r="5" customFormat="false" ht="15" hidden="false" customHeight="true" outlineLevel="0" collapsed="false">
      <c r="A5" s="15" t="s">
        <v>124</v>
      </c>
      <c r="B5" s="16" t="n">
        <v>8</v>
      </c>
      <c r="C5" s="22" t="n">
        <f aca="false">IFERROR(VAR(נתונים!$H$3:$H$302)+VAR(נתונים!$I$3:$I$302)+VAR(נתונים!$J$3:$J$302)+VAR(נתונים!$K$3:$K$302)+VAR(נתונים!$L$3:$L$302)+VAR(נתונים!$M$3:$M$302)+VAR(נתונים!$N$3:$N$302)+VAR(נתונים!$O$3:$O$302),"")</f>
        <v>9.83003300330033</v>
      </c>
      <c r="D5" s="22" t="n">
        <f aca="false">IFERROR(VAR(נתונים!$AL$3:$AL$302),"")</f>
        <v>34.4501067753834</v>
      </c>
      <c r="E5" s="17" t="n">
        <f aca="false">IFERROR(B5/(B5-1)*(1-C5/D5),"")</f>
        <v>0.816752974135936</v>
      </c>
      <c r="F5" s="16" t="n">
        <f aca="false">COUNT(נתונים!$AL$3:$AL$302)</f>
        <v>102</v>
      </c>
    </row>
    <row r="6" customFormat="false" ht="15" hidden="false" customHeight="true" outlineLevel="0" collapsed="false">
      <c r="A6" s="15" t="s">
        <v>125</v>
      </c>
      <c r="B6" s="16" t="n">
        <v>10</v>
      </c>
      <c r="C6" s="22" t="n">
        <f aca="false">IFERROR(VAR(נתונים!$P$3:$P$302)+VAR(נתונים!$Q$3:$Q$302)+VAR(נתונים!$R$3:$R$302)+VAR(נתונים!$S$3:$S$302)+VAR(נתונים!$T$3:$T$302)+VAR(נתונים!$U$3:$U$302)+VAR(נתונים!$AH$3:$AH$302)+VAR(נתונים!$AI$3:$AI$302)+VAR(נתונים!$AJ$3:$AJ$302)+VAR(נתונים!$AK$3:$AK$302),"")</f>
        <v>13.426942341293</v>
      </c>
      <c r="D6" s="22" t="n">
        <f aca="false">IFERROR(VAR(נתונים!$AM$3:$AM$302),"")</f>
        <v>60.0131931560503</v>
      </c>
      <c r="E6" s="17" t="n">
        <f aca="false">IFERROR(B6/(B6-1)*(1-C6/D6),"")</f>
        <v>0.862518692692949</v>
      </c>
      <c r="F6" s="16" t="n">
        <f aca="false">COUNT(נתונים!$AM$3:$AM$302)</f>
        <v>99</v>
      </c>
    </row>
    <row r="7" customFormat="false" ht="15" hidden="false" customHeight="true" outlineLevel="0" collapsed="false">
      <c r="A7" s="15" t="s">
        <v>126</v>
      </c>
      <c r="B7" s="16" t="n">
        <v>8</v>
      </c>
      <c r="C7" s="22" t="n">
        <f aca="false">IFERROR(VAR(נתונים!$Z$3:$Z$302)+VAR(נתונים!$AA$3:$AA$302)+VAR(נתונים!$AB$3:$AB$302)+VAR(נתונים!$AC$3:$AC$302)+VAR(נתונים!$AD$3:$AD$302)+VAR(נתונים!$AE$3:$AE$302)+VAR(נתונים!$AF$3:$AF$302)+VAR(נתונים!$AG$3:$AG$302),"")</f>
        <v>8.25352358765288</v>
      </c>
      <c r="D7" s="22" t="n">
        <f aca="false">IFERROR(VAR(נתונים!$AN$3:$AN$302),"")</f>
        <v>28.8580198019802</v>
      </c>
      <c r="E7" s="17" t="n">
        <f aca="false">IFERROR(B7/(B7-1)*(1-C7/D7),"")</f>
        <v>0.815994854640065</v>
      </c>
      <c r="F7" s="16" t="n">
        <f aca="false">COUNT(נתונים!$AN$3:$AN$302)</f>
        <v>101</v>
      </c>
    </row>
    <row r="9" customFormat="false" ht="15" hidden="false" customHeight="true" outlineLevel="0" collapsed="false">
      <c r="A9" s="23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9"/>
    <col collapsed="false" customWidth="true" hidden="false" outlineLevel="0" max="3" min="3" style="1" width="60"/>
    <col collapsed="false" customWidth="true" hidden="false" outlineLevel="0" max="4" min="4" style="1" width="34"/>
    <col collapsed="false" customWidth="true" hidden="false" outlineLevel="0" max="5" min="5" style="1" width="14"/>
    <col collapsed="false" customWidth="true" hidden="false" outlineLevel="0" max="6" min="6" style="1" width="9"/>
    <col collapsed="false" customWidth="true" hidden="false" outlineLevel="0" max="7" min="7" style="1" width="46"/>
  </cols>
  <sheetData>
    <row r="1" customFormat="false" ht="17.25" hidden="false" customHeight="true" outlineLevel="0" collapsed="false">
      <c r="A1" s="13" t="s">
        <v>185</v>
      </c>
    </row>
    <row r="3" customFormat="false" ht="15" hidden="false" customHeight="true" outlineLevel="0" collapsed="false">
      <c r="A3" s="5" t="s">
        <v>186</v>
      </c>
      <c r="B3" s="5" t="s">
        <v>187</v>
      </c>
      <c r="C3" s="5" t="s">
        <v>188</v>
      </c>
      <c r="D3" s="5" t="s">
        <v>189</v>
      </c>
      <c r="E3" s="5" t="s">
        <v>178</v>
      </c>
      <c r="F3" s="5" t="s">
        <v>190</v>
      </c>
      <c r="G3" s="5" t="s">
        <v>191</v>
      </c>
    </row>
    <row r="4" customFormat="false" ht="15" hidden="false" customHeight="true" outlineLevel="0" collapsed="false">
      <c r="A4" s="16" t="s">
        <v>192</v>
      </c>
      <c r="B4" s="16" t="s">
        <v>12</v>
      </c>
      <c r="C4" s="20" t="s">
        <v>193</v>
      </c>
      <c r="D4" s="20" t="s">
        <v>194</v>
      </c>
      <c r="E4" s="16" t="s">
        <v>195</v>
      </c>
      <c r="F4" s="16"/>
      <c r="G4" s="20"/>
    </row>
    <row r="5" customFormat="false" ht="26.25" hidden="false" customHeight="true" outlineLevel="0" collapsed="false">
      <c r="A5" s="16" t="s">
        <v>196</v>
      </c>
      <c r="B5" s="16" t="s">
        <v>13</v>
      </c>
      <c r="C5" s="20" t="s">
        <v>66</v>
      </c>
      <c r="D5" s="20" t="s">
        <v>197</v>
      </c>
      <c r="E5" s="16" t="s">
        <v>195</v>
      </c>
      <c r="F5" s="16"/>
      <c r="G5" s="20"/>
    </row>
    <row r="6" customFormat="false" ht="15" hidden="false" customHeight="true" outlineLevel="0" collapsed="false">
      <c r="A6" s="16" t="s">
        <v>198</v>
      </c>
      <c r="B6" s="16" t="s">
        <v>14</v>
      </c>
      <c r="C6" s="20" t="s">
        <v>67</v>
      </c>
      <c r="D6" s="20" t="s">
        <v>199</v>
      </c>
      <c r="E6" s="16" t="s">
        <v>195</v>
      </c>
      <c r="F6" s="16"/>
      <c r="G6" s="20"/>
    </row>
    <row r="7" customFormat="false" ht="15" hidden="false" customHeight="true" outlineLevel="0" collapsed="false">
      <c r="A7" s="16" t="s">
        <v>200</v>
      </c>
      <c r="B7" s="16" t="s">
        <v>15</v>
      </c>
      <c r="C7" s="20" t="s">
        <v>68</v>
      </c>
      <c r="D7" s="20" t="s">
        <v>201</v>
      </c>
      <c r="E7" s="16" t="s">
        <v>195</v>
      </c>
      <c r="F7" s="16"/>
      <c r="G7" s="20"/>
    </row>
    <row r="8" customFormat="false" ht="26.25" hidden="false" customHeight="true" outlineLevel="0" collapsed="false">
      <c r="A8" s="16" t="s">
        <v>202</v>
      </c>
      <c r="B8" s="16" t="s">
        <v>16</v>
      </c>
      <c r="C8" s="20" t="s">
        <v>203</v>
      </c>
      <c r="D8" s="20" t="s">
        <v>204</v>
      </c>
      <c r="E8" s="16" t="s">
        <v>195</v>
      </c>
      <c r="F8" s="16"/>
      <c r="G8" s="20"/>
    </row>
    <row r="9" customFormat="false" ht="15" hidden="false" customHeight="true" outlineLevel="0" collapsed="false">
      <c r="A9" s="16" t="s">
        <v>205</v>
      </c>
      <c r="B9" s="16" t="s">
        <v>17</v>
      </c>
      <c r="C9" s="20" t="s">
        <v>206</v>
      </c>
      <c r="D9" s="20" t="s">
        <v>207</v>
      </c>
      <c r="E9" s="16" t="s">
        <v>195</v>
      </c>
      <c r="F9" s="16"/>
      <c r="G9" s="20"/>
    </row>
    <row r="10" customFormat="false" ht="26.25" hidden="false" customHeight="true" outlineLevel="0" collapsed="false">
      <c r="A10" s="16" t="s">
        <v>208</v>
      </c>
      <c r="B10" s="16" t="s">
        <v>18</v>
      </c>
      <c r="C10" s="20" t="s">
        <v>209</v>
      </c>
      <c r="D10" s="20" t="s">
        <v>210</v>
      </c>
      <c r="E10" s="16" t="s">
        <v>195</v>
      </c>
      <c r="F10" s="16"/>
      <c r="G10" s="20"/>
    </row>
    <row r="11" customFormat="false" ht="26.25" hidden="false" customHeight="true" outlineLevel="0" collapsed="false">
      <c r="A11" s="16" t="s">
        <v>211</v>
      </c>
      <c r="B11" s="16" t="s">
        <v>19</v>
      </c>
      <c r="C11" s="20" t="s">
        <v>212</v>
      </c>
      <c r="D11" s="20" t="s">
        <v>213</v>
      </c>
      <c r="E11" s="16" t="s">
        <v>124</v>
      </c>
      <c r="F11" s="16"/>
      <c r="G11" s="20" t="s">
        <v>214</v>
      </c>
    </row>
    <row r="12" customFormat="false" ht="26.25" hidden="false" customHeight="true" outlineLevel="0" collapsed="false">
      <c r="A12" s="16" t="s">
        <v>215</v>
      </c>
      <c r="B12" s="16" t="s">
        <v>20</v>
      </c>
      <c r="C12" s="20" t="s">
        <v>216</v>
      </c>
      <c r="D12" s="20" t="s">
        <v>213</v>
      </c>
      <c r="E12" s="16" t="s">
        <v>124</v>
      </c>
      <c r="F12" s="16"/>
      <c r="G12" s="20" t="s">
        <v>214</v>
      </c>
    </row>
    <row r="13" customFormat="false" ht="26.25" hidden="false" customHeight="true" outlineLevel="0" collapsed="false">
      <c r="A13" s="16" t="s">
        <v>217</v>
      </c>
      <c r="B13" s="16" t="s">
        <v>21</v>
      </c>
      <c r="C13" s="20" t="s">
        <v>218</v>
      </c>
      <c r="D13" s="20" t="s">
        <v>213</v>
      </c>
      <c r="E13" s="16" t="s">
        <v>124</v>
      </c>
      <c r="F13" s="16"/>
      <c r="G13" s="20" t="s">
        <v>214</v>
      </c>
    </row>
    <row r="14" customFormat="false" ht="26.25" hidden="false" customHeight="true" outlineLevel="0" collapsed="false">
      <c r="A14" s="16" t="s">
        <v>219</v>
      </c>
      <c r="B14" s="16" t="s">
        <v>22</v>
      </c>
      <c r="C14" s="20" t="s">
        <v>220</v>
      </c>
      <c r="D14" s="20" t="s">
        <v>213</v>
      </c>
      <c r="E14" s="16" t="s">
        <v>124</v>
      </c>
      <c r="F14" s="16"/>
      <c r="G14" s="20" t="s">
        <v>214</v>
      </c>
    </row>
    <row r="15" customFormat="false" ht="26.25" hidden="false" customHeight="true" outlineLevel="0" collapsed="false">
      <c r="A15" s="16" t="s">
        <v>221</v>
      </c>
      <c r="B15" s="16" t="s">
        <v>23</v>
      </c>
      <c r="C15" s="20" t="s">
        <v>222</v>
      </c>
      <c r="D15" s="20" t="s">
        <v>213</v>
      </c>
      <c r="E15" s="16" t="s">
        <v>124</v>
      </c>
      <c r="F15" s="16"/>
      <c r="G15" s="20" t="s">
        <v>214</v>
      </c>
    </row>
    <row r="16" customFormat="false" ht="26.25" hidden="false" customHeight="true" outlineLevel="0" collapsed="false">
      <c r="A16" s="16" t="s">
        <v>223</v>
      </c>
      <c r="B16" s="16" t="s">
        <v>24</v>
      </c>
      <c r="C16" s="20" t="s">
        <v>224</v>
      </c>
      <c r="D16" s="20" t="s">
        <v>213</v>
      </c>
      <c r="E16" s="16" t="s">
        <v>124</v>
      </c>
      <c r="F16" s="16"/>
      <c r="G16" s="20" t="s">
        <v>225</v>
      </c>
    </row>
    <row r="17" customFormat="false" ht="26.25" hidden="false" customHeight="true" outlineLevel="0" collapsed="false">
      <c r="A17" s="16" t="s">
        <v>119</v>
      </c>
      <c r="B17" s="16" t="s">
        <v>25</v>
      </c>
      <c r="C17" s="20" t="s">
        <v>226</v>
      </c>
      <c r="D17" s="20" t="s">
        <v>213</v>
      </c>
      <c r="E17" s="16" t="s">
        <v>124</v>
      </c>
      <c r="F17" s="16"/>
      <c r="G17" s="20" t="s">
        <v>225</v>
      </c>
    </row>
    <row r="18" customFormat="false" ht="26.25" hidden="false" customHeight="true" outlineLevel="0" collapsed="false">
      <c r="A18" s="16" t="s">
        <v>227</v>
      </c>
      <c r="B18" s="16" t="s">
        <v>26</v>
      </c>
      <c r="C18" s="20" t="s">
        <v>228</v>
      </c>
      <c r="D18" s="20" t="s">
        <v>213</v>
      </c>
      <c r="E18" s="16" t="s">
        <v>124</v>
      </c>
      <c r="F18" s="16"/>
      <c r="G18" s="20" t="s">
        <v>225</v>
      </c>
    </row>
    <row r="19" customFormat="false" ht="39" hidden="false" customHeight="true" outlineLevel="0" collapsed="false">
      <c r="A19" s="16" t="s">
        <v>229</v>
      </c>
      <c r="B19" s="16" t="s">
        <v>27</v>
      </c>
      <c r="C19" s="20" t="s">
        <v>230</v>
      </c>
      <c r="D19" s="20" t="s">
        <v>213</v>
      </c>
      <c r="E19" s="16" t="s">
        <v>231</v>
      </c>
      <c r="F19" s="16"/>
      <c r="G19" s="20" t="s">
        <v>232</v>
      </c>
    </row>
    <row r="20" customFormat="false" ht="39" hidden="false" customHeight="true" outlineLevel="0" collapsed="false">
      <c r="A20" s="16" t="s">
        <v>233</v>
      </c>
      <c r="B20" s="16" t="s">
        <v>28</v>
      </c>
      <c r="C20" s="20" t="s">
        <v>234</v>
      </c>
      <c r="D20" s="20" t="s">
        <v>213</v>
      </c>
      <c r="E20" s="16" t="s">
        <v>231</v>
      </c>
      <c r="F20" s="16"/>
      <c r="G20" s="20" t="s">
        <v>232</v>
      </c>
    </row>
    <row r="21" customFormat="false" ht="39" hidden="false" customHeight="true" outlineLevel="0" collapsed="false">
      <c r="A21" s="16" t="s">
        <v>235</v>
      </c>
      <c r="B21" s="16" t="s">
        <v>29</v>
      </c>
      <c r="C21" s="20" t="s">
        <v>236</v>
      </c>
      <c r="D21" s="20" t="s">
        <v>213</v>
      </c>
      <c r="E21" s="16" t="s">
        <v>231</v>
      </c>
      <c r="F21" s="16"/>
      <c r="G21" s="20" t="s">
        <v>232</v>
      </c>
    </row>
    <row r="22" customFormat="false" ht="39" hidden="false" customHeight="true" outlineLevel="0" collapsed="false">
      <c r="A22" s="16" t="s">
        <v>237</v>
      </c>
      <c r="B22" s="16" t="s">
        <v>30</v>
      </c>
      <c r="C22" s="20" t="s">
        <v>238</v>
      </c>
      <c r="D22" s="20" t="s">
        <v>213</v>
      </c>
      <c r="E22" s="16" t="s">
        <v>231</v>
      </c>
      <c r="F22" s="16"/>
      <c r="G22" s="20" t="s">
        <v>232</v>
      </c>
    </row>
    <row r="23" customFormat="false" ht="39" hidden="false" customHeight="true" outlineLevel="0" collapsed="false">
      <c r="A23" s="16" t="s">
        <v>239</v>
      </c>
      <c r="B23" s="16" t="s">
        <v>31</v>
      </c>
      <c r="C23" s="20" t="s">
        <v>240</v>
      </c>
      <c r="D23" s="20" t="s">
        <v>213</v>
      </c>
      <c r="E23" s="16" t="s">
        <v>231</v>
      </c>
      <c r="F23" s="16"/>
      <c r="G23" s="20" t="s">
        <v>232</v>
      </c>
    </row>
    <row r="24" customFormat="false" ht="39" hidden="false" customHeight="true" outlineLevel="0" collapsed="false">
      <c r="A24" s="16" t="s">
        <v>241</v>
      </c>
      <c r="B24" s="16" t="s">
        <v>32</v>
      </c>
      <c r="C24" s="20" t="s">
        <v>242</v>
      </c>
      <c r="D24" s="20" t="s">
        <v>213</v>
      </c>
      <c r="E24" s="16" t="s">
        <v>231</v>
      </c>
      <c r="F24" s="16"/>
      <c r="G24" s="20" t="s">
        <v>232</v>
      </c>
    </row>
    <row r="25" customFormat="false" ht="39" hidden="false" customHeight="true" outlineLevel="0" collapsed="false">
      <c r="A25" s="16" t="s">
        <v>243</v>
      </c>
      <c r="B25" s="16" t="s">
        <v>33</v>
      </c>
      <c r="C25" s="20" t="s">
        <v>244</v>
      </c>
      <c r="D25" s="20" t="s">
        <v>213</v>
      </c>
      <c r="E25" s="16" t="s">
        <v>231</v>
      </c>
      <c r="F25" s="16" t="s">
        <v>245</v>
      </c>
      <c r="G25" s="20" t="s">
        <v>246</v>
      </c>
    </row>
    <row r="26" customFormat="false" ht="39" hidden="false" customHeight="true" outlineLevel="0" collapsed="false">
      <c r="A26" s="16" t="s">
        <v>247</v>
      </c>
      <c r="B26" s="16" t="s">
        <v>34</v>
      </c>
      <c r="C26" s="20" t="s">
        <v>248</v>
      </c>
      <c r="D26" s="20" t="s">
        <v>213</v>
      </c>
      <c r="E26" s="16" t="s">
        <v>231</v>
      </c>
      <c r="F26" s="16" t="s">
        <v>245</v>
      </c>
      <c r="G26" s="20" t="s">
        <v>246</v>
      </c>
    </row>
    <row r="27" customFormat="false" ht="39" hidden="false" customHeight="true" outlineLevel="0" collapsed="false">
      <c r="A27" s="16" t="s">
        <v>249</v>
      </c>
      <c r="B27" s="16" t="s">
        <v>35</v>
      </c>
      <c r="C27" s="20" t="s">
        <v>250</v>
      </c>
      <c r="D27" s="20" t="s">
        <v>213</v>
      </c>
      <c r="E27" s="16" t="s">
        <v>231</v>
      </c>
      <c r="F27" s="16" t="s">
        <v>245</v>
      </c>
      <c r="G27" s="20" t="s">
        <v>246</v>
      </c>
    </row>
    <row r="28" customFormat="false" ht="39" hidden="false" customHeight="true" outlineLevel="0" collapsed="false">
      <c r="A28" s="16" t="s">
        <v>251</v>
      </c>
      <c r="B28" s="16" t="s">
        <v>36</v>
      </c>
      <c r="C28" s="20" t="s">
        <v>252</v>
      </c>
      <c r="D28" s="20" t="s">
        <v>213</v>
      </c>
      <c r="E28" s="16" t="s">
        <v>231</v>
      </c>
      <c r="F28" s="16" t="s">
        <v>245</v>
      </c>
      <c r="G28" s="20" t="s">
        <v>246</v>
      </c>
    </row>
    <row r="29" customFormat="false" ht="39" hidden="false" customHeight="true" outlineLevel="0" collapsed="false">
      <c r="A29" s="16" t="s">
        <v>253</v>
      </c>
      <c r="B29" s="16" t="s">
        <v>37</v>
      </c>
      <c r="C29" s="20" t="s">
        <v>254</v>
      </c>
      <c r="D29" s="20" t="s">
        <v>213</v>
      </c>
      <c r="E29" s="16" t="s">
        <v>126</v>
      </c>
      <c r="F29" s="16"/>
      <c r="G29" s="20" t="s">
        <v>255</v>
      </c>
    </row>
    <row r="30" customFormat="false" ht="39" hidden="false" customHeight="true" outlineLevel="0" collapsed="false">
      <c r="A30" s="16" t="s">
        <v>256</v>
      </c>
      <c r="B30" s="16" t="s">
        <v>38</v>
      </c>
      <c r="C30" s="20" t="s">
        <v>257</v>
      </c>
      <c r="D30" s="20" t="s">
        <v>213</v>
      </c>
      <c r="E30" s="16" t="s">
        <v>126</v>
      </c>
      <c r="F30" s="16"/>
      <c r="G30" s="20" t="s">
        <v>255</v>
      </c>
    </row>
    <row r="31" customFormat="false" ht="39" hidden="false" customHeight="true" outlineLevel="0" collapsed="false">
      <c r="A31" s="16" t="s">
        <v>258</v>
      </c>
      <c r="B31" s="16" t="s">
        <v>39</v>
      </c>
      <c r="C31" s="20" t="s">
        <v>259</v>
      </c>
      <c r="D31" s="20" t="s">
        <v>213</v>
      </c>
      <c r="E31" s="16" t="s">
        <v>126</v>
      </c>
      <c r="F31" s="16"/>
      <c r="G31" s="20" t="s">
        <v>255</v>
      </c>
    </row>
    <row r="32" customFormat="false" ht="39" hidden="false" customHeight="true" outlineLevel="0" collapsed="false">
      <c r="A32" s="16" t="s">
        <v>260</v>
      </c>
      <c r="B32" s="16" t="s">
        <v>40</v>
      </c>
      <c r="C32" s="20" t="s">
        <v>261</v>
      </c>
      <c r="D32" s="20" t="s">
        <v>213</v>
      </c>
      <c r="E32" s="16" t="s">
        <v>126</v>
      </c>
      <c r="F32" s="16"/>
      <c r="G32" s="20" t="s">
        <v>255</v>
      </c>
    </row>
    <row r="33" customFormat="false" ht="39" hidden="false" customHeight="true" outlineLevel="0" collapsed="false">
      <c r="A33" s="16" t="s">
        <v>262</v>
      </c>
      <c r="B33" s="16" t="s">
        <v>41</v>
      </c>
      <c r="C33" s="20" t="s">
        <v>263</v>
      </c>
      <c r="D33" s="20" t="s">
        <v>213</v>
      </c>
      <c r="E33" s="16" t="s">
        <v>126</v>
      </c>
      <c r="F33" s="16"/>
      <c r="G33" s="20" t="s">
        <v>255</v>
      </c>
    </row>
    <row r="34" customFormat="false" ht="39" hidden="false" customHeight="true" outlineLevel="0" collapsed="false">
      <c r="A34" s="16" t="s">
        <v>264</v>
      </c>
      <c r="B34" s="16" t="s">
        <v>42</v>
      </c>
      <c r="C34" s="20" t="s">
        <v>265</v>
      </c>
      <c r="D34" s="20" t="s">
        <v>213</v>
      </c>
      <c r="E34" s="16" t="s">
        <v>126</v>
      </c>
      <c r="F34" s="16"/>
      <c r="G34" s="20" t="s">
        <v>255</v>
      </c>
    </row>
    <row r="35" customFormat="false" ht="39" hidden="false" customHeight="true" outlineLevel="0" collapsed="false">
      <c r="A35" s="16" t="s">
        <v>266</v>
      </c>
      <c r="B35" s="16" t="s">
        <v>43</v>
      </c>
      <c r="C35" s="20" t="s">
        <v>267</v>
      </c>
      <c r="D35" s="20" t="s">
        <v>213</v>
      </c>
      <c r="E35" s="16" t="s">
        <v>126</v>
      </c>
      <c r="F35" s="16"/>
      <c r="G35" s="20" t="s">
        <v>255</v>
      </c>
    </row>
    <row r="36" customFormat="false" ht="39" hidden="false" customHeight="true" outlineLevel="0" collapsed="false">
      <c r="A36" s="16" t="s">
        <v>268</v>
      </c>
      <c r="B36" s="16" t="s">
        <v>44</v>
      </c>
      <c r="C36" s="20" t="s">
        <v>269</v>
      </c>
      <c r="D36" s="20" t="s">
        <v>213</v>
      </c>
      <c r="E36" s="16" t="s">
        <v>126</v>
      </c>
      <c r="F36" s="16"/>
      <c r="G36" s="20" t="s">
        <v>255</v>
      </c>
    </row>
    <row r="38" customFormat="false" ht="15" hidden="false" customHeight="true" outlineLevel="0" collapsed="false">
      <c r="A38" s="25" t="s">
        <v>270</v>
      </c>
    </row>
    <row r="39" customFormat="false" ht="15" hidden="false" customHeight="true" outlineLevel="0" collapsed="false">
      <c r="A39" s="26" t="s">
        <v>271</v>
      </c>
    </row>
    <row r="40" customFormat="false" ht="15" hidden="false" customHeight="true" outlineLevel="0" collapsed="false">
      <c r="A40" s="26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2026-10-24T13:11:14Z</dcterms:created>
  <dc:creator>openpyxl</dc:creator>
  <dc:description/>
  <dc:language>en-US</dc:language>
  <cp:lastModifiedBy/>
  <dcterms:modified xsi:type="dcterms:W3CDTF">2026-10-24T13:30:34Z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