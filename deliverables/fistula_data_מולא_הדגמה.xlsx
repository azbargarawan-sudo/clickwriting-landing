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הוראות" sheetId="1" state="visible" r:id="rId3"/>
    <sheet name="נתונים" sheetId="2" state="visible" r:id="rId4"/>
    <sheet name="סיכום" sheetId="3" state="visible" r:id="rId5"/>
    <sheet name="רשימו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<sst xmlns="http://schemas.openxmlformats.org/spreadsheetml/2006/main" count="401" uniqueCount="83">
  <si>
    <t xml:space="preserve">תבנית איסוף נתונים – מסלול יצירת גישה לדיאליזה (AV Fistula)</t>
  </si>
  <si>
    <t xml:space="preserve">איך ממלאים:</t>
  </si>
  <si>
    <t xml:space="preserve">1. בגיליון 'נתונים' ממלאים רק את התאים הצהובים. התאים הירוקים מחושבים אוטומטית.</t>
  </si>
  <si>
    <t xml:space="preserve">2. אין לרשום שם, ת.ז. או מספר תיק – רק מספר סידורי.</t>
  </si>
  <si>
    <t xml:space="preserve">3. תאריכים בפורמט dd/mm/yyyy. אם שלב לא בוצע או לא ידוע – משאירים ריק.</t>
  </si>
  <si>
    <t xml:space="preserve">4. סוג גישה, איך התחילה דיאליזה וסיבת עיכוב – בוחרים מהרשימה הנפתחת.</t>
  </si>
  <si>
    <t xml:space="preserve">5. גיליון 'סיכום' מתעדכן לבד: חציון, ממוצע, מינימום ומקסימום לכל שלב, ופילוח סיבות עיכוב.</t>
  </si>
  <si>
    <t xml:space="preserve">6. חציון הוא המדד העיקרי – הוא פחות מושפע ממקרים קיצוניים.</t>
  </si>
  <si>
    <t xml:space="preserve">שורת דוגמה (לא נכללת בחישובים):</t>
  </si>
  <si>
    <t xml:space="preserve">מס' סידורי</t>
  </si>
  <si>
    <t xml:space="preserve">גיל</t>
  </si>
  <si>
    <t xml:space="preserve">תאריך הפניה</t>
  </si>
  <si>
    <t xml:space="preserve">תאריך מיפוי דופלקס</t>
  </si>
  <si>
    <t xml:space="preserve">תאריך ביקור במרפאה</t>
  </si>
  <si>
    <t xml:space="preserve">תאריך ניתוח</t>
  </si>
  <si>
    <t xml:space="preserve">סוג גישה</t>
  </si>
  <si>
    <t xml:space="preserve">התחלת דיאליזה</t>
  </si>
  <si>
    <t xml:space="preserve">סיבת עיכוב עיקרית</t>
  </si>
  <si>
    <t xml:space="preserve">AVF</t>
  </si>
  <si>
    <t xml:space="preserve">פיסטולה</t>
  </si>
  <si>
    <t xml:space="preserve">המתנה למיפוי</t>
  </si>
  <si>
    <t xml:space="preserve">מקור קודי הפעולה: ICD-9-CM 39.27 (Arteriovenostomy for renal dialysis) – לאמת מול מחלקת הקידוד בבית החולים.</t>
  </si>
  <si>
    <r>
      <rPr>
        <sz val="11"/>
        <color theme="1"/>
        <rFont val="FreeSans"/>
        <family val="2"/>
      </rPr>
      <t xml:space="preserve">הערה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הגיליון מולא בנתוני הדגמה מדומים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סימולציה</t>
    </r>
    <r>
      <rPr>
        <sz val="11"/>
        <color theme="1"/>
        <rFont val="Calibri"/>
        <family val="2"/>
        <charset val="1"/>
      </rPr>
      <t xml:space="preserve">, 84 </t>
    </r>
    <r>
      <rPr>
        <sz val="11"/>
        <color theme="1"/>
        <rFont val="FreeSans"/>
        <family val="2"/>
      </rPr>
      <t xml:space="preserve">שורות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לצורך בדיקת התבנית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הנוסחאות וגיליון הסיכום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לפני השימוש בעבודה יש להחליפם בנתוני הרשומות בפועל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לאחר אישור מנהל המחלקה ואימות מול מחלקת הקידוד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</si>
  <si>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תקופת ההדגמה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ניתוחים שבוצעו בין </t>
    </r>
    <r>
      <rPr>
        <sz val="11"/>
        <color theme="1"/>
        <rFont val="Calibri"/>
        <family val="2"/>
        <charset val="1"/>
      </rPr>
      <t xml:space="preserve">01/06/2025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Calibri"/>
        <family val="2"/>
        <charset val="1"/>
      </rPr>
      <t xml:space="preserve">-31/05/2026. </t>
    </r>
    <r>
      <rPr>
        <sz val="11"/>
        <color theme="1"/>
        <rFont val="FreeSans"/>
        <family val="2"/>
      </rPr>
      <t xml:space="preserve">שורות עם תאריך מיפוי או מרפאה חסר נשארו ריקות בהתאם להוראה </t>
    </r>
    <r>
      <rPr>
        <sz val="11"/>
        <color theme="1"/>
        <rFont val="Calibri"/>
        <family val="2"/>
        <charset val="1"/>
      </rPr>
      <t xml:space="preserve">3.</t>
    </r>
  </si>
  <si>
    <t xml:space="preserve">הערות</t>
  </si>
  <si>
    <t xml:space="preserve">ימים: הפניה → מיפוי</t>
  </si>
  <si>
    <t xml:space="preserve">ימים: מיפוי → מרפאה</t>
  </si>
  <si>
    <t xml:space="preserve">ימים: מרפאה → ניתוח</t>
  </si>
  <si>
    <t xml:space="preserve">ימים: הפניה → ניתוח (סה"כ)</t>
  </si>
  <si>
    <t xml:space="preserve">צנתר</t>
  </si>
  <si>
    <t xml:space="preserve">אחר</t>
  </si>
  <si>
    <t xml:space="preserve">מיפוי בוצע בקהילה, תאריך לא ידוע</t>
  </si>
  <si>
    <t xml:space="preserve">הפניה מאוחרת מנפרולוגיה</t>
  </si>
  <si>
    <t xml:space="preserve">AVG (שתל)</t>
  </si>
  <si>
    <t xml:space="preserve">טרם התחיל</t>
  </si>
  <si>
    <t xml:space="preserve">המתנה לתור במרפאה</t>
  </si>
  <si>
    <t xml:space="preserve">ביטול ניתוח</t>
  </si>
  <si>
    <t xml:space="preserve">ניתוח בוטל ביום הניתוח ונקבע מחדש</t>
  </si>
  <si>
    <t xml:space="preserve">המתנה לחדר ניתוח</t>
  </si>
  <si>
    <t xml:space="preserve">ללא עיכוב משמעותי</t>
  </si>
  <si>
    <t xml:space="preserve">לא הגיע לתור הראשון למיפוי (זימון לא התקבל)</t>
  </si>
  <si>
    <t xml:space="preserve">הגיע בצום ונשלח הביתה, נותח בשבוע שלאחר מכן</t>
  </si>
  <si>
    <t xml:space="preserve">תיעוד חלקי ברשומה</t>
  </si>
  <si>
    <t xml:space="preserve">ממתין ברשימה ללא תאריך במשך כחודשיים</t>
  </si>
  <si>
    <t xml:space="preserve">התחיל דיאליזה דחופה במהלך אשפוז, לפני המיפוי</t>
  </si>
  <si>
    <t xml:space="preserve">נדחה פעם אחת מרשימת הניתוחים בשל ניתוח דחוף</t>
  </si>
  <si>
    <t xml:space="preserve">מיפוי חוזר, הקודם לא היה בתוקף</t>
  </si>
  <si>
    <t xml:space="preserve">בירור/הכנה רפואית</t>
  </si>
  <si>
    <t xml:space="preserve">נדחה בבוקר הניתוח: בדיקות טרום ניתוח לא בתוקף</t>
  </si>
  <si>
    <t xml:space="preserve">נדחה פעמיים מרשימת הניתוחים</t>
  </si>
  <si>
    <t xml:space="preserve">הופנה כשכבר היה קרוב לדיאליזה</t>
  </si>
  <si>
    <t xml:space="preserve">בוטל בתקופת הפעילות המצומצמת, נקבע מחדש</t>
  </si>
  <si>
    <t xml:space="preserve">דחייה ע"י המטופל</t>
  </si>
  <si>
    <t xml:space="preserve">סירב בתחילה לפיסטולה, הסכים לאחר התחלת דיאליזה</t>
  </si>
  <si>
    <t xml:space="preserve">הפניה מהקהילה</t>
  </si>
  <si>
    <t xml:space="preserve">המטופל ביקש לדחות את הניתוח</t>
  </si>
  <si>
    <t xml:space="preserve">התחיל דיאליזה דרך צנתר לפני הניתוח</t>
  </si>
  <si>
    <t xml:space="preserve">ביטול בשל מחלה חריפה של המטופל</t>
  </si>
  <si>
    <t xml:space="preserve">מטופל מאושפז, המסלול הושלם במהלך האשפוז</t>
  </si>
  <si>
    <t xml:space="preserve">לא הפסיק טיפול נוגד קרישה כנדרש</t>
  </si>
  <si>
    <t xml:space="preserve">הופנה לייעוץ קרדיולוגי לפני הניתוח</t>
  </si>
  <si>
    <t xml:space="preserve">תור למיפוי נקבע רק לאחר ביקור ראשון במרפאה</t>
  </si>
  <si>
    <t xml:space="preserve">לא הגיע לתור למרפאה, נקבע מחדש</t>
  </si>
  <si>
    <t xml:space="preserve">התחייבות מהקופה התעכבה</t>
  </si>
  <si>
    <t xml:space="preserve">סיכום זמנים במסלול (בימים)</t>
  </si>
  <si>
    <t xml:space="preserve">שלב</t>
  </si>
  <si>
    <t xml:space="preserve">מספר מטופלים</t>
  </si>
  <si>
    <t xml:space="preserve">חציון</t>
  </si>
  <si>
    <t xml:space="preserve">ממוצע</t>
  </si>
  <si>
    <t xml:space="preserve">מינימום</t>
  </si>
  <si>
    <t xml:space="preserve">מקסימום</t>
  </si>
  <si>
    <t xml:space="preserve">הפניה → מיפוי</t>
  </si>
  <si>
    <t xml:space="preserve">מיפוי → מרפאה</t>
  </si>
  <si>
    <t xml:space="preserve">מרפאה → ניתוח</t>
  </si>
  <si>
    <t xml:space="preserve">סה"כ: הפניה → ניתוח</t>
  </si>
  <si>
    <t xml:space="preserve">סוג</t>
  </si>
  <si>
    <t xml:space="preserve">מספר</t>
  </si>
  <si>
    <t xml:space="preserve">אחוז מתוך מי שהתחילו דיאליזה</t>
  </si>
  <si>
    <t xml:space="preserve">—</t>
  </si>
  <si>
    <t xml:space="preserve">סיבות עיכוב עיקריות</t>
  </si>
  <si>
    <t xml:space="preserve">סיבה</t>
  </si>
  <si>
    <t xml:space="preserve">אחוז</t>
  </si>
  <si>
    <t xml:space="preserve">סיבת עיכוב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</si>
</sst>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0.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theme="1"/>
      <name val="FreeSans"/>
      <family val="2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8"/>
  </cols>
  <sheetData>
    <row r="1" customFormat="false" ht="16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8</v>
      </c>
    </row>
    <row r="12" customFormat="false" ht="26.25" hidden="false" customHeight="true" outlineLevel="0" collapsed="false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</row>
    <row r="13" customFormat="false" ht="15" hidden="false" customHeight="true" outlineLevel="0" collapsed="false">
      <c r="A13" s="6" t="n">
        <v>1</v>
      </c>
      <c r="B13" s="6" t="n">
        <v>67</v>
      </c>
      <c r="C13" s="7" t="n">
        <v>45964</v>
      </c>
      <c r="D13" s="7" t="n">
        <v>45992</v>
      </c>
      <c r="E13" s="7" t="n">
        <v>46013</v>
      </c>
      <c r="F13" s="7" t="n">
        <v>46062</v>
      </c>
      <c r="G13" s="6" t="s">
        <v>18</v>
      </c>
      <c r="H13" s="6" t="s">
        <v>19</v>
      </c>
      <c r="I13" s="6" t="s">
        <v>20</v>
      </c>
    </row>
    <row r="15" customFormat="false" ht="15" hidden="false" customHeight="true" outlineLevel="0" collapsed="false">
      <c r="A15" s="8" t="s">
        <v>21</v>
      </c>
    </row>
    <row r="17" customFormat="false" ht="15" hidden="false" customHeight="false" outlineLevel="0" collapsed="false">
      <c r="A17" s="9" t="s">
        <v>22</v>
      </c>
    </row>
    <row r="18" customFormat="false" ht="15" hidden="false" customHeight="false" outlineLevel="0" collapsed="false">
      <c r="A18" s="9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6" min="3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24"/>
    <col collapsed="false" customWidth="true" hidden="false" outlineLevel="0" max="13" min="11" style="1" width="14"/>
    <col collapsed="false" customWidth="true" hidden="false" outlineLevel="0" max="14" min="14" style="1" width="16"/>
  </cols>
  <sheetData>
    <row r="1" customFormat="false" ht="45" hidden="false" customHeight="tru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</row>
    <row r="2" customFormat="false" ht="15" hidden="false" customHeight="true" outlineLevel="0" collapsed="false">
      <c r="A2" s="10" t="n">
        <v>1</v>
      </c>
      <c r="B2" s="10" t="n">
        <v>37</v>
      </c>
      <c r="C2" s="11" t="n">
        <v>45647</v>
      </c>
      <c r="D2" s="11"/>
      <c r="E2" s="11" t="n">
        <v>45734</v>
      </c>
      <c r="F2" s="11" t="n">
        <v>45809</v>
      </c>
      <c r="G2" s="10" t="s">
        <v>18</v>
      </c>
      <c r="H2" s="10" t="s">
        <v>29</v>
      </c>
      <c r="I2" s="10" t="s">
        <v>30</v>
      </c>
      <c r="J2" s="10" t="s">
        <v>31</v>
      </c>
      <c r="K2" s="12" t="str">
        <f aca="false">IF(AND(ISNUMBER(C2),ISNUMBER(D2)),D2-C2,"")</f>
        <v/>
      </c>
      <c r="L2" s="12" t="str">
        <f aca="false">IF(AND(ISNUMBER(D2),ISNUMBER(E2)),E2-D2,"")</f>
        <v/>
      </c>
      <c r="M2" s="12" t="n">
        <f aca="false">IF(AND(ISNUMBER(E2),ISNUMBER(F2)),F2-E2,"")</f>
        <v>75</v>
      </c>
      <c r="N2" s="12" t="n">
        <f aca="false">IF(AND(ISNUMBER(C2),ISNUMBER(F2)),F2-C2,"")</f>
        <v>162</v>
      </c>
    </row>
    <row r="3" customFormat="false" ht="15" hidden="false" customHeight="true" outlineLevel="0" collapsed="false">
      <c r="A3" s="10" t="n">
        <v>2</v>
      </c>
      <c r="B3" s="10" t="n">
        <v>68</v>
      </c>
      <c r="C3" s="11" t="n">
        <v>45749</v>
      </c>
      <c r="D3" s="11" t="n">
        <v>45775</v>
      </c>
      <c r="E3" s="11" t="n">
        <v>45790</v>
      </c>
      <c r="F3" s="11" t="n">
        <v>45813</v>
      </c>
      <c r="G3" s="10" t="s">
        <v>18</v>
      </c>
      <c r="H3" s="10" t="s">
        <v>29</v>
      </c>
      <c r="I3" s="10" t="s">
        <v>32</v>
      </c>
      <c r="J3" s="10"/>
      <c r="K3" s="12" t="n">
        <f aca="false">IF(AND(ISNUMBER(C3),ISNUMBER(D3)),D3-C3,"")</f>
        <v>26</v>
      </c>
      <c r="L3" s="12" t="n">
        <f aca="false">IF(AND(ISNUMBER(D3),ISNUMBER(E3)),E3-D3,"")</f>
        <v>15</v>
      </c>
      <c r="M3" s="12" t="n">
        <f aca="false">IF(AND(ISNUMBER(E3),ISNUMBER(F3)),F3-E3,"")</f>
        <v>23</v>
      </c>
      <c r="N3" s="12" t="n">
        <f aca="false">IF(AND(ISNUMBER(C3),ISNUMBER(F3)),F3-C3,"")</f>
        <v>64</v>
      </c>
    </row>
    <row r="4" customFormat="false" ht="15" hidden="false" customHeight="true" outlineLevel="0" collapsed="false">
      <c r="A4" s="10" t="n">
        <v>3</v>
      </c>
      <c r="B4" s="10" t="n">
        <v>61</v>
      </c>
      <c r="C4" s="11" t="n">
        <v>45646</v>
      </c>
      <c r="D4" s="11" t="n">
        <v>45694</v>
      </c>
      <c r="E4" s="11" t="n">
        <v>45747</v>
      </c>
      <c r="F4" s="11" t="n">
        <v>45815</v>
      </c>
      <c r="G4" s="10" t="s">
        <v>33</v>
      </c>
      <c r="H4" s="10" t="s">
        <v>34</v>
      </c>
      <c r="I4" s="10" t="s">
        <v>35</v>
      </c>
      <c r="J4" s="10"/>
      <c r="K4" s="12" t="n">
        <f aca="false">IF(AND(ISNUMBER(C4),ISNUMBER(D4)),D4-C4,"")</f>
        <v>48</v>
      </c>
      <c r="L4" s="12" t="n">
        <f aca="false">IF(AND(ISNUMBER(D4),ISNUMBER(E4)),E4-D4,"")</f>
        <v>53</v>
      </c>
      <c r="M4" s="12" t="n">
        <f aca="false">IF(AND(ISNUMBER(E4),ISNUMBER(F4)),F4-E4,"")</f>
        <v>68</v>
      </c>
      <c r="N4" s="12" t="n">
        <f aca="false">IF(AND(ISNUMBER(C4),ISNUMBER(F4)),F4-C4,"")</f>
        <v>169</v>
      </c>
    </row>
    <row r="5" customFormat="false" ht="15" hidden="false" customHeight="true" outlineLevel="0" collapsed="false">
      <c r="A5" s="10" t="n">
        <v>4</v>
      </c>
      <c r="B5" s="10" t="n">
        <v>73</v>
      </c>
      <c r="C5" s="11" t="n">
        <v>45733</v>
      </c>
      <c r="D5" s="11" t="n">
        <v>45753</v>
      </c>
      <c r="E5" s="11" t="n">
        <v>45766</v>
      </c>
      <c r="F5" s="11" t="n">
        <v>45821</v>
      </c>
      <c r="G5" s="10" t="s">
        <v>18</v>
      </c>
      <c r="H5" s="10" t="s">
        <v>34</v>
      </c>
      <c r="I5" s="10" t="s">
        <v>36</v>
      </c>
      <c r="J5" s="10" t="s">
        <v>37</v>
      </c>
      <c r="K5" s="12" t="n">
        <f aca="false">IF(AND(ISNUMBER(C5),ISNUMBER(D5)),D5-C5,"")</f>
        <v>20</v>
      </c>
      <c r="L5" s="12" t="n">
        <f aca="false">IF(AND(ISNUMBER(D5),ISNUMBER(E5)),E5-D5,"")</f>
        <v>13</v>
      </c>
      <c r="M5" s="12" t="n">
        <f aca="false">IF(AND(ISNUMBER(E5),ISNUMBER(F5)),F5-E5,"")</f>
        <v>55</v>
      </c>
      <c r="N5" s="12" t="n">
        <f aca="false">IF(AND(ISNUMBER(C5),ISNUMBER(F5)),F5-C5,"")</f>
        <v>88</v>
      </c>
    </row>
    <row r="6" customFormat="false" ht="15" hidden="false" customHeight="true" outlineLevel="0" collapsed="false">
      <c r="A6" s="10" t="n">
        <v>5</v>
      </c>
      <c r="B6" s="10" t="n">
        <v>49</v>
      </c>
      <c r="C6" s="11" t="n">
        <v>45672</v>
      </c>
      <c r="D6" s="11" t="n">
        <v>45690</v>
      </c>
      <c r="E6" s="11" t="n">
        <v>45712</v>
      </c>
      <c r="F6" s="11" t="n">
        <v>45834</v>
      </c>
      <c r="G6" s="10" t="s">
        <v>18</v>
      </c>
      <c r="H6" s="10" t="s">
        <v>19</v>
      </c>
      <c r="I6" s="10" t="s">
        <v>38</v>
      </c>
      <c r="J6" s="10"/>
      <c r="K6" s="12" t="n">
        <f aca="false">IF(AND(ISNUMBER(C6),ISNUMBER(D6)),D6-C6,"")</f>
        <v>18</v>
      </c>
      <c r="L6" s="12" t="n">
        <f aca="false">IF(AND(ISNUMBER(D6),ISNUMBER(E6)),E6-D6,"")</f>
        <v>22</v>
      </c>
      <c r="M6" s="12" t="n">
        <f aca="false">IF(AND(ISNUMBER(E6),ISNUMBER(F6)),F6-E6,"")</f>
        <v>122</v>
      </c>
      <c r="N6" s="12" t="n">
        <f aca="false">IF(AND(ISNUMBER(C6),ISNUMBER(F6)),F6-C6,"")</f>
        <v>162</v>
      </c>
    </row>
    <row r="7" customFormat="false" ht="15" hidden="false" customHeight="true" outlineLevel="0" collapsed="false">
      <c r="A7" s="10" t="n">
        <v>6</v>
      </c>
      <c r="B7" s="10" t="n">
        <v>60</v>
      </c>
      <c r="C7" s="11" t="n">
        <v>45721</v>
      </c>
      <c r="D7" s="11"/>
      <c r="E7" s="11" t="n">
        <v>45789</v>
      </c>
      <c r="F7" s="11" t="n">
        <v>45837</v>
      </c>
      <c r="G7" s="10" t="s">
        <v>18</v>
      </c>
      <c r="H7" s="10" t="s">
        <v>19</v>
      </c>
      <c r="I7" s="10" t="s">
        <v>30</v>
      </c>
      <c r="J7" s="10" t="s">
        <v>31</v>
      </c>
      <c r="K7" s="12" t="str">
        <f aca="false">IF(AND(ISNUMBER(C7),ISNUMBER(D7)),D7-C7,"")</f>
        <v/>
      </c>
      <c r="L7" s="12" t="str">
        <f aca="false">IF(AND(ISNUMBER(D7),ISNUMBER(E7)),E7-D7,"")</f>
        <v/>
      </c>
      <c r="M7" s="12" t="n">
        <f aca="false">IF(AND(ISNUMBER(E7),ISNUMBER(F7)),F7-E7,"")</f>
        <v>48</v>
      </c>
      <c r="N7" s="12" t="n">
        <f aca="false">IF(AND(ISNUMBER(C7),ISNUMBER(F7)),F7-C7,"")</f>
        <v>116</v>
      </c>
    </row>
    <row r="8" customFormat="false" ht="15" hidden="false" customHeight="true" outlineLevel="0" collapsed="false">
      <c r="A8" s="10" t="n">
        <v>7</v>
      </c>
      <c r="B8" s="10" t="n">
        <v>44</v>
      </c>
      <c r="C8" s="11" t="n">
        <v>45721</v>
      </c>
      <c r="D8" s="11"/>
      <c r="E8" s="11" t="n">
        <v>45763</v>
      </c>
      <c r="F8" s="11" t="n">
        <v>45848</v>
      </c>
      <c r="G8" s="10" t="s">
        <v>18</v>
      </c>
      <c r="H8" s="10" t="s">
        <v>29</v>
      </c>
      <c r="I8" s="10" t="s">
        <v>38</v>
      </c>
      <c r="J8" s="10" t="s">
        <v>31</v>
      </c>
      <c r="K8" s="12" t="str">
        <f aca="false">IF(AND(ISNUMBER(C8),ISNUMBER(D8)),D8-C8,"")</f>
        <v/>
      </c>
      <c r="L8" s="12" t="str">
        <f aca="false">IF(AND(ISNUMBER(D8),ISNUMBER(E8)),E8-D8,"")</f>
        <v/>
      </c>
      <c r="M8" s="12" t="n">
        <f aca="false">IF(AND(ISNUMBER(E8),ISNUMBER(F8)),F8-E8,"")</f>
        <v>85</v>
      </c>
      <c r="N8" s="12" t="n">
        <f aca="false">IF(AND(ISNUMBER(C8),ISNUMBER(F8)),F8-C8,"")</f>
        <v>127</v>
      </c>
    </row>
    <row r="9" customFormat="false" ht="15" hidden="false" customHeight="true" outlineLevel="0" collapsed="false">
      <c r="A9" s="10" t="n">
        <v>8</v>
      </c>
      <c r="B9" s="10" t="n">
        <v>75</v>
      </c>
      <c r="C9" s="11" t="n">
        <v>45733</v>
      </c>
      <c r="D9" s="11" t="n">
        <v>45773</v>
      </c>
      <c r="E9" s="11" t="n">
        <v>45794</v>
      </c>
      <c r="F9" s="11" t="n">
        <v>45851</v>
      </c>
      <c r="G9" s="10" t="s">
        <v>33</v>
      </c>
      <c r="H9" s="10" t="s">
        <v>29</v>
      </c>
      <c r="I9" s="10" t="s">
        <v>20</v>
      </c>
      <c r="J9" s="10"/>
      <c r="K9" s="12" t="n">
        <f aca="false">IF(AND(ISNUMBER(C9),ISNUMBER(D9)),D9-C9,"")</f>
        <v>40</v>
      </c>
      <c r="L9" s="12" t="n">
        <f aca="false">IF(AND(ISNUMBER(D9),ISNUMBER(E9)),E9-D9,"")</f>
        <v>21</v>
      </c>
      <c r="M9" s="12" t="n">
        <f aca="false">IF(AND(ISNUMBER(E9),ISNUMBER(F9)),F9-E9,"")</f>
        <v>57</v>
      </c>
      <c r="N9" s="12" t="n">
        <f aca="false">IF(AND(ISNUMBER(C9),ISNUMBER(F9)),F9-C9,"")</f>
        <v>118</v>
      </c>
    </row>
    <row r="10" customFormat="false" ht="15" hidden="false" customHeight="true" outlineLevel="0" collapsed="false">
      <c r="A10" s="10" t="n">
        <v>9</v>
      </c>
      <c r="B10" s="10" t="n">
        <v>61</v>
      </c>
      <c r="C10" s="11" t="n">
        <v>45789</v>
      </c>
      <c r="D10" s="11" t="n">
        <v>45813</v>
      </c>
      <c r="E10" s="11" t="n">
        <v>45820</v>
      </c>
      <c r="F10" s="11" t="n">
        <v>45852</v>
      </c>
      <c r="G10" s="10" t="s">
        <v>18</v>
      </c>
      <c r="H10" s="10" t="s">
        <v>19</v>
      </c>
      <c r="I10" s="10" t="s">
        <v>39</v>
      </c>
      <c r="J10" s="10"/>
      <c r="K10" s="12" t="n">
        <f aca="false">IF(AND(ISNUMBER(C10),ISNUMBER(D10)),D10-C10,"")</f>
        <v>24</v>
      </c>
      <c r="L10" s="12" t="n">
        <f aca="false">IF(AND(ISNUMBER(D10),ISNUMBER(E10)),E10-D10,"")</f>
        <v>7</v>
      </c>
      <c r="M10" s="12" t="n">
        <f aca="false">IF(AND(ISNUMBER(E10),ISNUMBER(F10)),F10-E10,"")</f>
        <v>32</v>
      </c>
      <c r="N10" s="12" t="n">
        <f aca="false">IF(AND(ISNUMBER(C10),ISNUMBER(F10)),F10-C10,"")</f>
        <v>63</v>
      </c>
    </row>
    <row r="11" customFormat="false" ht="15" hidden="false" customHeight="true" outlineLevel="0" collapsed="false">
      <c r="A11" s="10" t="n">
        <v>10</v>
      </c>
      <c r="B11" s="10" t="n">
        <v>37</v>
      </c>
      <c r="C11" s="11" t="n">
        <v>45731</v>
      </c>
      <c r="D11" s="11" t="n">
        <v>45754</v>
      </c>
      <c r="E11" s="11" t="n">
        <v>45792</v>
      </c>
      <c r="F11" s="11" t="n">
        <v>45854</v>
      </c>
      <c r="G11" s="10" t="s">
        <v>18</v>
      </c>
      <c r="H11" s="10" t="s">
        <v>34</v>
      </c>
      <c r="I11" s="10" t="s">
        <v>35</v>
      </c>
      <c r="J11" s="10"/>
      <c r="K11" s="12" t="n">
        <f aca="false">IF(AND(ISNUMBER(C11),ISNUMBER(D11)),D11-C11,"")</f>
        <v>23</v>
      </c>
      <c r="L11" s="12" t="n">
        <f aca="false">IF(AND(ISNUMBER(D11),ISNUMBER(E11)),E11-D11,"")</f>
        <v>38</v>
      </c>
      <c r="M11" s="12" t="n">
        <f aca="false">IF(AND(ISNUMBER(E11),ISNUMBER(F11)),F11-E11,"")</f>
        <v>62</v>
      </c>
      <c r="N11" s="12" t="n">
        <f aca="false">IF(AND(ISNUMBER(C11),ISNUMBER(F11)),F11-C11,"")</f>
        <v>123</v>
      </c>
    </row>
    <row r="12" customFormat="false" ht="15" hidden="false" customHeight="true" outlineLevel="0" collapsed="false">
      <c r="A12" s="10" t="n">
        <v>11</v>
      </c>
      <c r="B12" s="10" t="n">
        <v>68</v>
      </c>
      <c r="C12" s="11" t="n">
        <v>45724</v>
      </c>
      <c r="D12" s="11" t="n">
        <v>45799</v>
      </c>
      <c r="E12" s="11" t="n">
        <v>45814</v>
      </c>
      <c r="F12" s="11" t="n">
        <v>45859</v>
      </c>
      <c r="G12" s="10" t="s">
        <v>18</v>
      </c>
      <c r="H12" s="10" t="s">
        <v>34</v>
      </c>
      <c r="I12" s="10" t="s">
        <v>20</v>
      </c>
      <c r="J12" s="10" t="s">
        <v>40</v>
      </c>
      <c r="K12" s="12" t="n">
        <f aca="false">IF(AND(ISNUMBER(C12),ISNUMBER(D12)),D12-C12,"")</f>
        <v>75</v>
      </c>
      <c r="L12" s="12" t="n">
        <f aca="false">IF(AND(ISNUMBER(D12),ISNUMBER(E12)),E12-D12,"")</f>
        <v>15</v>
      </c>
      <c r="M12" s="12" t="n">
        <f aca="false">IF(AND(ISNUMBER(E12),ISNUMBER(F12)),F12-E12,"")</f>
        <v>45</v>
      </c>
      <c r="N12" s="12" t="n">
        <f aca="false">IF(AND(ISNUMBER(C12),ISNUMBER(F12)),F12-C12,"")</f>
        <v>135</v>
      </c>
    </row>
    <row r="13" customFormat="false" ht="15" hidden="false" customHeight="true" outlineLevel="0" collapsed="false">
      <c r="A13" s="10" t="n">
        <v>12</v>
      </c>
      <c r="B13" s="10" t="n">
        <v>69</v>
      </c>
      <c r="C13" s="11" t="n">
        <v>45743</v>
      </c>
      <c r="D13" s="11" t="n">
        <v>45810</v>
      </c>
      <c r="E13" s="11"/>
      <c r="F13" s="11" t="n">
        <v>45861</v>
      </c>
      <c r="G13" s="10" t="s">
        <v>18</v>
      </c>
      <c r="H13" s="10" t="s">
        <v>34</v>
      </c>
      <c r="I13" s="10" t="s">
        <v>20</v>
      </c>
      <c r="J13" s="10" t="s">
        <v>40</v>
      </c>
      <c r="K13" s="12" t="n">
        <f aca="false">IF(AND(ISNUMBER(C13),ISNUMBER(D13)),D13-C13,"")</f>
        <v>67</v>
      </c>
      <c r="L13" s="12" t="str">
        <f aca="false">IF(AND(ISNUMBER(D13),ISNUMBER(E13)),E13-D13,"")</f>
        <v/>
      </c>
      <c r="M13" s="12" t="str">
        <f aca="false">IF(AND(ISNUMBER(E13),ISNUMBER(F13)),F13-E13,"")</f>
        <v/>
      </c>
      <c r="N13" s="12" t="n">
        <f aca="false">IF(AND(ISNUMBER(C13),ISNUMBER(F13)),F13-C13,"")</f>
        <v>118</v>
      </c>
    </row>
    <row r="14" customFormat="false" ht="15" hidden="false" customHeight="true" outlineLevel="0" collapsed="false">
      <c r="A14" s="10" t="n">
        <v>13</v>
      </c>
      <c r="B14" s="10" t="n">
        <v>57</v>
      </c>
      <c r="C14" s="11" t="n">
        <v>45734</v>
      </c>
      <c r="D14" s="11" t="n">
        <v>45763</v>
      </c>
      <c r="E14" s="11" t="n">
        <v>45779</v>
      </c>
      <c r="F14" s="11" t="n">
        <v>45880</v>
      </c>
      <c r="G14" s="10" t="s">
        <v>18</v>
      </c>
      <c r="H14" s="10" t="s">
        <v>34</v>
      </c>
      <c r="I14" s="10" t="s">
        <v>38</v>
      </c>
      <c r="J14" s="10"/>
      <c r="K14" s="12" t="n">
        <f aca="false">IF(AND(ISNUMBER(C14),ISNUMBER(D14)),D14-C14,"")</f>
        <v>29</v>
      </c>
      <c r="L14" s="12" t="n">
        <f aca="false">IF(AND(ISNUMBER(D14),ISNUMBER(E14)),E14-D14,"")</f>
        <v>16</v>
      </c>
      <c r="M14" s="12" t="n">
        <f aca="false">IF(AND(ISNUMBER(E14),ISNUMBER(F14)),F14-E14,"")</f>
        <v>101</v>
      </c>
      <c r="N14" s="12" t="n">
        <f aca="false">IF(AND(ISNUMBER(C14),ISNUMBER(F14)),F14-C14,"")</f>
        <v>146</v>
      </c>
    </row>
    <row r="15" customFormat="false" ht="15" hidden="false" customHeight="true" outlineLevel="0" collapsed="false">
      <c r="A15" s="10" t="n">
        <v>14</v>
      </c>
      <c r="B15" s="10" t="n">
        <v>72</v>
      </c>
      <c r="C15" s="11" t="n">
        <v>45690</v>
      </c>
      <c r="D15" s="11" t="n">
        <v>45738</v>
      </c>
      <c r="E15" s="11" t="n">
        <v>45752</v>
      </c>
      <c r="F15" s="11" t="n">
        <v>45892</v>
      </c>
      <c r="G15" s="10" t="s">
        <v>18</v>
      </c>
      <c r="H15" s="10" t="s">
        <v>29</v>
      </c>
      <c r="I15" s="10" t="s">
        <v>38</v>
      </c>
      <c r="J15" s="10" t="s">
        <v>41</v>
      </c>
      <c r="K15" s="12" t="n">
        <f aca="false">IF(AND(ISNUMBER(C15),ISNUMBER(D15)),D15-C15,"")</f>
        <v>48</v>
      </c>
      <c r="L15" s="12" t="n">
        <f aca="false">IF(AND(ISNUMBER(D15),ISNUMBER(E15)),E15-D15,"")</f>
        <v>14</v>
      </c>
      <c r="M15" s="12" t="n">
        <f aca="false">IF(AND(ISNUMBER(E15),ISNUMBER(F15)),F15-E15,"")</f>
        <v>140</v>
      </c>
      <c r="N15" s="12" t="n">
        <f aca="false">IF(AND(ISNUMBER(C15),ISNUMBER(F15)),F15-C15,"")</f>
        <v>202</v>
      </c>
    </row>
    <row r="16" customFormat="false" ht="15" hidden="false" customHeight="true" outlineLevel="0" collapsed="false">
      <c r="A16" s="10" t="n">
        <v>15</v>
      </c>
      <c r="B16" s="10" t="n">
        <v>60</v>
      </c>
      <c r="C16" s="11" t="n">
        <v>45767</v>
      </c>
      <c r="D16" s="11" t="n">
        <v>45841</v>
      </c>
      <c r="E16" s="11" t="n">
        <v>45865</v>
      </c>
      <c r="F16" s="11" t="n">
        <v>45893</v>
      </c>
      <c r="G16" s="10" t="s">
        <v>18</v>
      </c>
      <c r="H16" s="10" t="s">
        <v>19</v>
      </c>
      <c r="I16" s="10" t="s">
        <v>30</v>
      </c>
      <c r="J16" s="10" t="s">
        <v>42</v>
      </c>
      <c r="K16" s="12" t="n">
        <f aca="false">IF(AND(ISNUMBER(C16),ISNUMBER(D16)),D16-C16,"")</f>
        <v>74</v>
      </c>
      <c r="L16" s="12" t="n">
        <f aca="false">IF(AND(ISNUMBER(D16),ISNUMBER(E16)),E16-D16,"")</f>
        <v>24</v>
      </c>
      <c r="M16" s="12" t="n">
        <f aca="false">IF(AND(ISNUMBER(E16),ISNUMBER(F16)),F16-E16,"")</f>
        <v>28</v>
      </c>
      <c r="N16" s="12" t="n">
        <f aca="false">IF(AND(ISNUMBER(C16),ISNUMBER(F16)),F16-C16,"")</f>
        <v>126</v>
      </c>
    </row>
    <row r="17" customFormat="false" ht="15" hidden="false" customHeight="true" outlineLevel="0" collapsed="false">
      <c r="A17" s="10" t="n">
        <v>16</v>
      </c>
      <c r="B17" s="10" t="n">
        <v>60</v>
      </c>
      <c r="C17" s="11" t="n">
        <v>45776</v>
      </c>
      <c r="D17" s="11" t="n">
        <v>45807</v>
      </c>
      <c r="E17" s="11" t="n">
        <v>45819</v>
      </c>
      <c r="F17" s="11" t="n">
        <v>45893</v>
      </c>
      <c r="G17" s="10" t="s">
        <v>18</v>
      </c>
      <c r="H17" s="10" t="s">
        <v>19</v>
      </c>
      <c r="I17" s="10" t="s">
        <v>38</v>
      </c>
      <c r="J17" s="10" t="s">
        <v>43</v>
      </c>
      <c r="K17" s="12" t="n">
        <f aca="false">IF(AND(ISNUMBER(C17),ISNUMBER(D17)),D17-C17,"")</f>
        <v>31</v>
      </c>
      <c r="L17" s="12" t="n">
        <f aca="false">IF(AND(ISNUMBER(D17),ISNUMBER(E17)),E17-D17,"")</f>
        <v>12</v>
      </c>
      <c r="M17" s="12" t="n">
        <f aca="false">IF(AND(ISNUMBER(E17),ISNUMBER(F17)),F17-E17,"")</f>
        <v>74</v>
      </c>
      <c r="N17" s="12" t="n">
        <f aca="false">IF(AND(ISNUMBER(C17),ISNUMBER(F17)),F17-C17,"")</f>
        <v>117</v>
      </c>
    </row>
    <row r="18" customFormat="false" ht="15" hidden="false" customHeight="true" outlineLevel="0" collapsed="false">
      <c r="A18" s="10" t="n">
        <v>17</v>
      </c>
      <c r="B18" s="10" t="n">
        <v>72</v>
      </c>
      <c r="C18" s="11" t="n">
        <v>45750</v>
      </c>
      <c r="D18" s="11" t="n">
        <v>45768</v>
      </c>
      <c r="E18" s="11" t="n">
        <v>45782</v>
      </c>
      <c r="F18" s="11" t="n">
        <v>45898</v>
      </c>
      <c r="G18" s="10" t="s">
        <v>18</v>
      </c>
      <c r="H18" s="10" t="s">
        <v>29</v>
      </c>
      <c r="I18" s="10" t="s">
        <v>38</v>
      </c>
      <c r="J18" s="10"/>
      <c r="K18" s="12" t="n">
        <f aca="false">IF(AND(ISNUMBER(C18),ISNUMBER(D18)),D18-C18,"")</f>
        <v>18</v>
      </c>
      <c r="L18" s="12" t="n">
        <f aca="false">IF(AND(ISNUMBER(D18),ISNUMBER(E18)),E18-D18,"")</f>
        <v>14</v>
      </c>
      <c r="M18" s="12" t="n">
        <f aca="false">IF(AND(ISNUMBER(E18),ISNUMBER(F18)),F18-E18,"")</f>
        <v>116</v>
      </c>
      <c r="N18" s="12" t="n">
        <f aca="false">IF(AND(ISNUMBER(C18),ISNUMBER(F18)),F18-C18,"")</f>
        <v>148</v>
      </c>
    </row>
    <row r="19" customFormat="false" ht="15" hidden="false" customHeight="true" outlineLevel="0" collapsed="false">
      <c r="A19" s="10" t="n">
        <v>18</v>
      </c>
      <c r="B19" s="10" t="n">
        <v>71</v>
      </c>
      <c r="C19" s="11" t="n">
        <v>45822</v>
      </c>
      <c r="D19" s="11" t="n">
        <v>45858</v>
      </c>
      <c r="E19" s="11" t="n">
        <v>45867</v>
      </c>
      <c r="F19" s="11" t="n">
        <v>45898</v>
      </c>
      <c r="G19" s="10" t="s">
        <v>18</v>
      </c>
      <c r="H19" s="10" t="s">
        <v>29</v>
      </c>
      <c r="I19" s="10" t="s">
        <v>32</v>
      </c>
      <c r="J19" s="10" t="s">
        <v>44</v>
      </c>
      <c r="K19" s="12" t="n">
        <f aca="false">IF(AND(ISNUMBER(C19),ISNUMBER(D19)),D19-C19,"")</f>
        <v>36</v>
      </c>
      <c r="L19" s="12" t="n">
        <f aca="false">IF(AND(ISNUMBER(D19),ISNUMBER(E19)),E19-D19,"")</f>
        <v>9</v>
      </c>
      <c r="M19" s="12" t="n">
        <f aca="false">IF(AND(ISNUMBER(E19),ISNUMBER(F19)),F19-E19,"")</f>
        <v>31</v>
      </c>
      <c r="N19" s="12" t="n">
        <f aca="false">IF(AND(ISNUMBER(C19),ISNUMBER(F19)),F19-C19,"")</f>
        <v>76</v>
      </c>
    </row>
    <row r="20" customFormat="false" ht="15" hidden="false" customHeight="true" outlineLevel="0" collapsed="false">
      <c r="A20" s="10" t="n">
        <v>19</v>
      </c>
      <c r="B20" s="10" t="n">
        <v>50</v>
      </c>
      <c r="C20" s="11" t="n">
        <v>45798</v>
      </c>
      <c r="D20" s="11" t="n">
        <v>45824</v>
      </c>
      <c r="E20" s="11" t="n">
        <v>45851</v>
      </c>
      <c r="F20" s="11" t="n">
        <v>45900</v>
      </c>
      <c r="G20" s="10" t="s">
        <v>18</v>
      </c>
      <c r="H20" s="10" t="s">
        <v>34</v>
      </c>
      <c r="I20" s="10" t="s">
        <v>30</v>
      </c>
      <c r="J20" s="10" t="s">
        <v>31</v>
      </c>
      <c r="K20" s="12" t="n">
        <f aca="false">IF(AND(ISNUMBER(C20),ISNUMBER(D20)),D20-C20,"")</f>
        <v>26</v>
      </c>
      <c r="L20" s="12" t="n">
        <f aca="false">IF(AND(ISNUMBER(D20),ISNUMBER(E20)),E20-D20,"")</f>
        <v>27</v>
      </c>
      <c r="M20" s="12" t="n">
        <f aca="false">IF(AND(ISNUMBER(E20),ISNUMBER(F20)),F20-E20,"")</f>
        <v>49</v>
      </c>
      <c r="N20" s="12" t="n">
        <f aca="false">IF(AND(ISNUMBER(C20),ISNUMBER(F20)),F20-C20,"")</f>
        <v>102</v>
      </c>
    </row>
    <row r="21" customFormat="false" ht="15" hidden="false" customHeight="true" outlineLevel="0" collapsed="false">
      <c r="A21" s="10" t="n">
        <v>20</v>
      </c>
      <c r="B21" s="10" t="n">
        <v>61</v>
      </c>
      <c r="C21" s="11" t="n">
        <v>45831</v>
      </c>
      <c r="D21" s="11" t="n">
        <v>45854</v>
      </c>
      <c r="E21" s="11" t="n">
        <v>45863</v>
      </c>
      <c r="F21" s="11" t="n">
        <v>45906</v>
      </c>
      <c r="G21" s="10" t="s">
        <v>18</v>
      </c>
      <c r="H21" s="10" t="s">
        <v>29</v>
      </c>
      <c r="I21" s="10" t="s">
        <v>32</v>
      </c>
      <c r="J21" s="10" t="s">
        <v>44</v>
      </c>
      <c r="K21" s="12" t="n">
        <f aca="false">IF(AND(ISNUMBER(C21),ISNUMBER(D21)),D21-C21,"")</f>
        <v>23</v>
      </c>
      <c r="L21" s="12" t="n">
        <f aca="false">IF(AND(ISNUMBER(D21),ISNUMBER(E21)),E21-D21,"")</f>
        <v>9</v>
      </c>
      <c r="M21" s="12" t="n">
        <f aca="false">IF(AND(ISNUMBER(E21),ISNUMBER(F21)),F21-E21,"")</f>
        <v>43</v>
      </c>
      <c r="N21" s="12" t="n">
        <f aca="false">IF(AND(ISNUMBER(C21),ISNUMBER(F21)),F21-C21,"")</f>
        <v>75</v>
      </c>
    </row>
    <row r="22" customFormat="false" ht="15" hidden="false" customHeight="true" outlineLevel="0" collapsed="false">
      <c r="A22" s="10" t="n">
        <v>21</v>
      </c>
      <c r="B22" s="10" t="n">
        <v>71</v>
      </c>
      <c r="C22" s="11" t="n">
        <v>45763</v>
      </c>
      <c r="D22" s="11" t="n">
        <v>45777</v>
      </c>
      <c r="E22" s="11" t="n">
        <v>45806</v>
      </c>
      <c r="F22" s="11" t="n">
        <v>45906</v>
      </c>
      <c r="G22" s="10" t="s">
        <v>18</v>
      </c>
      <c r="H22" s="10" t="s">
        <v>19</v>
      </c>
      <c r="I22" s="10" t="s">
        <v>38</v>
      </c>
      <c r="J22" s="10" t="s">
        <v>45</v>
      </c>
      <c r="K22" s="12" t="n">
        <f aca="false">IF(AND(ISNUMBER(C22),ISNUMBER(D22)),D22-C22,"")</f>
        <v>14</v>
      </c>
      <c r="L22" s="12" t="n">
        <f aca="false">IF(AND(ISNUMBER(D22),ISNUMBER(E22)),E22-D22,"")</f>
        <v>29</v>
      </c>
      <c r="M22" s="12" t="n">
        <f aca="false">IF(AND(ISNUMBER(E22),ISNUMBER(F22)),F22-E22,"")</f>
        <v>100</v>
      </c>
      <c r="N22" s="12" t="n">
        <f aca="false">IF(AND(ISNUMBER(C22),ISNUMBER(F22)),F22-C22,"")</f>
        <v>143</v>
      </c>
    </row>
    <row r="23" customFormat="false" ht="15" hidden="false" customHeight="true" outlineLevel="0" collapsed="false">
      <c r="A23" s="10" t="n">
        <v>22</v>
      </c>
      <c r="B23" s="10" t="n">
        <v>60</v>
      </c>
      <c r="C23" s="11" t="n">
        <v>45811</v>
      </c>
      <c r="D23" s="11" t="n">
        <v>45857</v>
      </c>
      <c r="E23" s="11" t="n">
        <v>45877</v>
      </c>
      <c r="F23" s="11" t="n">
        <v>45910</v>
      </c>
      <c r="G23" s="10" t="s">
        <v>18</v>
      </c>
      <c r="H23" s="10" t="s">
        <v>29</v>
      </c>
      <c r="I23" s="10" t="s">
        <v>20</v>
      </c>
      <c r="J23" s="10" t="s">
        <v>46</v>
      </c>
      <c r="K23" s="12" t="n">
        <f aca="false">IF(AND(ISNUMBER(C23),ISNUMBER(D23)),D23-C23,"")</f>
        <v>46</v>
      </c>
      <c r="L23" s="12" t="n">
        <f aca="false">IF(AND(ISNUMBER(D23),ISNUMBER(E23)),E23-D23,"")</f>
        <v>20</v>
      </c>
      <c r="M23" s="12" t="n">
        <f aca="false">IF(AND(ISNUMBER(E23),ISNUMBER(F23)),F23-E23,"")</f>
        <v>33</v>
      </c>
      <c r="N23" s="12" t="n">
        <f aca="false">IF(AND(ISNUMBER(C23),ISNUMBER(F23)),F23-C23,"")</f>
        <v>99</v>
      </c>
    </row>
    <row r="24" customFormat="false" ht="15" hidden="false" customHeight="true" outlineLevel="0" collapsed="false">
      <c r="A24" s="10" t="n">
        <v>23</v>
      </c>
      <c r="B24" s="10" t="n">
        <v>70</v>
      </c>
      <c r="C24" s="11" t="n">
        <v>45731</v>
      </c>
      <c r="D24" s="11" t="n">
        <v>45801</v>
      </c>
      <c r="E24" s="11" t="n">
        <v>45818</v>
      </c>
      <c r="F24" s="11" t="n">
        <v>45910</v>
      </c>
      <c r="G24" s="10" t="s">
        <v>18</v>
      </c>
      <c r="H24" s="10" t="s">
        <v>29</v>
      </c>
      <c r="I24" s="10" t="s">
        <v>36</v>
      </c>
      <c r="J24" s="10" t="s">
        <v>37</v>
      </c>
      <c r="K24" s="12" t="n">
        <f aca="false">IF(AND(ISNUMBER(C24),ISNUMBER(D24)),D24-C24,"")</f>
        <v>70</v>
      </c>
      <c r="L24" s="12" t="n">
        <f aca="false">IF(AND(ISNUMBER(D24),ISNUMBER(E24)),E24-D24,"")</f>
        <v>17</v>
      </c>
      <c r="M24" s="12" t="n">
        <f aca="false">IF(AND(ISNUMBER(E24),ISNUMBER(F24)),F24-E24,"")</f>
        <v>92</v>
      </c>
      <c r="N24" s="12" t="n">
        <f aca="false">IF(AND(ISNUMBER(C24),ISNUMBER(F24)),F24-C24,"")</f>
        <v>179</v>
      </c>
    </row>
    <row r="25" customFormat="false" ht="15" hidden="false" customHeight="true" outlineLevel="0" collapsed="false">
      <c r="A25" s="10" t="n">
        <v>24</v>
      </c>
      <c r="B25" s="10" t="n">
        <v>45</v>
      </c>
      <c r="C25" s="11" t="n">
        <v>45751</v>
      </c>
      <c r="D25" s="11" t="n">
        <v>45779</v>
      </c>
      <c r="E25" s="11" t="n">
        <v>45808</v>
      </c>
      <c r="F25" s="11" t="n">
        <v>45911</v>
      </c>
      <c r="G25" s="10" t="s">
        <v>18</v>
      </c>
      <c r="H25" s="10" t="s">
        <v>29</v>
      </c>
      <c r="I25" s="10" t="s">
        <v>47</v>
      </c>
      <c r="J25" s="10" t="s">
        <v>48</v>
      </c>
      <c r="K25" s="12" t="n">
        <f aca="false">IF(AND(ISNUMBER(C25),ISNUMBER(D25)),D25-C25,"")</f>
        <v>28</v>
      </c>
      <c r="L25" s="12" t="n">
        <f aca="false">IF(AND(ISNUMBER(D25),ISNUMBER(E25)),E25-D25,"")</f>
        <v>29</v>
      </c>
      <c r="M25" s="12" t="n">
        <f aca="false">IF(AND(ISNUMBER(E25),ISNUMBER(F25)),F25-E25,"")</f>
        <v>103</v>
      </c>
      <c r="N25" s="12" t="n">
        <f aca="false">IF(AND(ISNUMBER(C25),ISNUMBER(F25)),F25-C25,"")</f>
        <v>160</v>
      </c>
    </row>
    <row r="26" customFormat="false" ht="15" hidden="false" customHeight="true" outlineLevel="0" collapsed="false">
      <c r="A26" s="10" t="n">
        <v>25</v>
      </c>
      <c r="B26" s="10" t="n">
        <v>66</v>
      </c>
      <c r="C26" s="11" t="n">
        <v>45784</v>
      </c>
      <c r="D26" s="11" t="n">
        <v>45822</v>
      </c>
      <c r="E26" s="11" t="n">
        <v>45839</v>
      </c>
      <c r="F26" s="11" t="n">
        <v>45914</v>
      </c>
      <c r="G26" s="10" t="s">
        <v>18</v>
      </c>
      <c r="H26" s="10" t="s">
        <v>19</v>
      </c>
      <c r="I26" s="10" t="s">
        <v>38</v>
      </c>
      <c r="J26" s="10"/>
      <c r="K26" s="12" t="n">
        <f aca="false">IF(AND(ISNUMBER(C26),ISNUMBER(D26)),D26-C26,"")</f>
        <v>38</v>
      </c>
      <c r="L26" s="12" t="n">
        <f aca="false">IF(AND(ISNUMBER(D26),ISNUMBER(E26)),E26-D26,"")</f>
        <v>17</v>
      </c>
      <c r="M26" s="12" t="n">
        <f aca="false">IF(AND(ISNUMBER(E26),ISNUMBER(F26)),F26-E26,"")</f>
        <v>75</v>
      </c>
      <c r="N26" s="12" t="n">
        <f aca="false">IF(AND(ISNUMBER(C26),ISNUMBER(F26)),F26-C26,"")</f>
        <v>130</v>
      </c>
    </row>
    <row r="27" customFormat="false" ht="15" hidden="false" customHeight="true" outlineLevel="0" collapsed="false">
      <c r="A27" s="10" t="n">
        <v>26</v>
      </c>
      <c r="B27" s="10" t="n">
        <v>85</v>
      </c>
      <c r="C27" s="11" t="n">
        <v>45791</v>
      </c>
      <c r="D27" s="11" t="n">
        <v>45844</v>
      </c>
      <c r="E27" s="11" t="n">
        <v>45856</v>
      </c>
      <c r="F27" s="11" t="n">
        <v>45916</v>
      </c>
      <c r="G27" s="10" t="s">
        <v>18</v>
      </c>
      <c r="H27" s="10" t="s">
        <v>19</v>
      </c>
      <c r="I27" s="10" t="s">
        <v>38</v>
      </c>
      <c r="J27" s="10" t="s">
        <v>49</v>
      </c>
      <c r="K27" s="12" t="n">
        <f aca="false">IF(AND(ISNUMBER(C27),ISNUMBER(D27)),D27-C27,"")</f>
        <v>53</v>
      </c>
      <c r="L27" s="12" t="n">
        <f aca="false">IF(AND(ISNUMBER(D27),ISNUMBER(E27)),E27-D27,"")</f>
        <v>12</v>
      </c>
      <c r="M27" s="12" t="n">
        <f aca="false">IF(AND(ISNUMBER(E27),ISNUMBER(F27)),F27-E27,"")</f>
        <v>60</v>
      </c>
      <c r="N27" s="12" t="n">
        <f aca="false">IF(AND(ISNUMBER(C27),ISNUMBER(F27)),F27-C27,"")</f>
        <v>125</v>
      </c>
    </row>
    <row r="28" customFormat="false" ht="15" hidden="false" customHeight="true" outlineLevel="0" collapsed="false">
      <c r="A28" s="10" t="n">
        <v>27</v>
      </c>
      <c r="B28" s="10" t="n">
        <v>54</v>
      </c>
      <c r="C28" s="11" t="n">
        <v>45764</v>
      </c>
      <c r="D28" s="11" t="n">
        <v>45807</v>
      </c>
      <c r="E28" s="11" t="n">
        <v>45828</v>
      </c>
      <c r="F28" s="11" t="n">
        <v>45919</v>
      </c>
      <c r="G28" s="10" t="s">
        <v>18</v>
      </c>
      <c r="H28" s="10" t="s">
        <v>29</v>
      </c>
      <c r="I28" s="10" t="s">
        <v>38</v>
      </c>
      <c r="J28" s="10"/>
      <c r="K28" s="12" t="n">
        <f aca="false">IF(AND(ISNUMBER(C28),ISNUMBER(D28)),D28-C28,"")</f>
        <v>43</v>
      </c>
      <c r="L28" s="12" t="n">
        <f aca="false">IF(AND(ISNUMBER(D28),ISNUMBER(E28)),E28-D28,"")</f>
        <v>21</v>
      </c>
      <c r="M28" s="12" t="n">
        <f aca="false">IF(AND(ISNUMBER(E28),ISNUMBER(F28)),F28-E28,"")</f>
        <v>91</v>
      </c>
      <c r="N28" s="12" t="n">
        <f aca="false">IF(AND(ISNUMBER(C28),ISNUMBER(F28)),F28-C28,"")</f>
        <v>155</v>
      </c>
    </row>
    <row r="29" customFormat="false" ht="15" hidden="false" customHeight="true" outlineLevel="0" collapsed="false">
      <c r="A29" s="10" t="n">
        <v>28</v>
      </c>
      <c r="B29" s="10" t="n">
        <v>57</v>
      </c>
      <c r="C29" s="11" t="n">
        <v>45840</v>
      </c>
      <c r="D29" s="11" t="n">
        <v>45869</v>
      </c>
      <c r="E29" s="11" t="n">
        <v>45887</v>
      </c>
      <c r="F29" s="11" t="n">
        <v>45920</v>
      </c>
      <c r="G29" s="10" t="s">
        <v>18</v>
      </c>
      <c r="H29" s="10" t="s">
        <v>29</v>
      </c>
      <c r="I29" s="10" t="s">
        <v>32</v>
      </c>
      <c r="J29" s="10" t="s">
        <v>50</v>
      </c>
      <c r="K29" s="12" t="n">
        <f aca="false">IF(AND(ISNUMBER(C29),ISNUMBER(D29)),D29-C29,"")</f>
        <v>29</v>
      </c>
      <c r="L29" s="12" t="n">
        <f aca="false">IF(AND(ISNUMBER(D29),ISNUMBER(E29)),E29-D29,"")</f>
        <v>18</v>
      </c>
      <c r="M29" s="12" t="n">
        <f aca="false">IF(AND(ISNUMBER(E29),ISNUMBER(F29)),F29-E29,"")</f>
        <v>33</v>
      </c>
      <c r="N29" s="12" t="n">
        <f aca="false">IF(AND(ISNUMBER(C29),ISNUMBER(F29)),F29-C29,"")</f>
        <v>80</v>
      </c>
    </row>
    <row r="30" customFormat="false" ht="15" hidden="false" customHeight="true" outlineLevel="0" collapsed="false">
      <c r="A30" s="10" t="n">
        <v>29</v>
      </c>
      <c r="B30" s="10" t="n">
        <v>63</v>
      </c>
      <c r="C30" s="11" t="n">
        <v>45739</v>
      </c>
      <c r="D30" s="11" t="n">
        <v>45766</v>
      </c>
      <c r="E30" s="11" t="n">
        <v>45798</v>
      </c>
      <c r="F30" s="11" t="n">
        <v>45921</v>
      </c>
      <c r="G30" s="10" t="s">
        <v>18</v>
      </c>
      <c r="H30" s="10" t="s">
        <v>19</v>
      </c>
      <c r="I30" s="10" t="s">
        <v>38</v>
      </c>
      <c r="J30" s="10" t="s">
        <v>49</v>
      </c>
      <c r="K30" s="12" t="n">
        <f aca="false">IF(AND(ISNUMBER(C30),ISNUMBER(D30)),D30-C30,"")</f>
        <v>27</v>
      </c>
      <c r="L30" s="12" t="n">
        <f aca="false">IF(AND(ISNUMBER(D30),ISNUMBER(E30)),E30-D30,"")</f>
        <v>32</v>
      </c>
      <c r="M30" s="12" t="n">
        <f aca="false">IF(AND(ISNUMBER(E30),ISNUMBER(F30)),F30-E30,"")</f>
        <v>123</v>
      </c>
      <c r="N30" s="12" t="n">
        <f aca="false">IF(AND(ISNUMBER(C30),ISNUMBER(F30)),F30-C30,"")</f>
        <v>182</v>
      </c>
    </row>
    <row r="31" customFormat="false" ht="15" hidden="false" customHeight="true" outlineLevel="0" collapsed="false">
      <c r="A31" s="10" t="n">
        <v>30</v>
      </c>
      <c r="B31" s="10" t="n">
        <v>63</v>
      </c>
      <c r="C31" s="11" t="n">
        <v>45789</v>
      </c>
      <c r="D31" s="11" t="n">
        <v>45815</v>
      </c>
      <c r="E31" s="11" t="n">
        <v>45827</v>
      </c>
      <c r="F31" s="11" t="n">
        <v>45921</v>
      </c>
      <c r="G31" s="10" t="s">
        <v>18</v>
      </c>
      <c r="H31" s="10" t="s">
        <v>29</v>
      </c>
      <c r="I31" s="10" t="s">
        <v>36</v>
      </c>
      <c r="J31" s="10" t="s">
        <v>51</v>
      </c>
      <c r="K31" s="12" t="n">
        <f aca="false">IF(AND(ISNUMBER(C31),ISNUMBER(D31)),D31-C31,"")</f>
        <v>26</v>
      </c>
      <c r="L31" s="12" t="n">
        <f aca="false">IF(AND(ISNUMBER(D31),ISNUMBER(E31)),E31-D31,"")</f>
        <v>12</v>
      </c>
      <c r="M31" s="12" t="n">
        <f aca="false">IF(AND(ISNUMBER(E31),ISNUMBER(F31)),F31-E31,"")</f>
        <v>94</v>
      </c>
      <c r="N31" s="12" t="n">
        <f aca="false">IF(AND(ISNUMBER(C31),ISNUMBER(F31)),F31-C31,"")</f>
        <v>132</v>
      </c>
    </row>
    <row r="32" customFormat="false" ht="15" hidden="false" customHeight="true" outlineLevel="0" collapsed="false">
      <c r="A32" s="10" t="n">
        <v>31</v>
      </c>
      <c r="B32" s="10" t="n">
        <v>59</v>
      </c>
      <c r="C32" s="11" t="n">
        <v>45789</v>
      </c>
      <c r="D32" s="11" t="n">
        <v>45825</v>
      </c>
      <c r="E32" s="11" t="n">
        <v>45838</v>
      </c>
      <c r="F32" s="11" t="n">
        <v>45933</v>
      </c>
      <c r="G32" s="10" t="s">
        <v>18</v>
      </c>
      <c r="H32" s="10" t="s">
        <v>29</v>
      </c>
      <c r="I32" s="10" t="s">
        <v>47</v>
      </c>
      <c r="J32" s="10" t="s">
        <v>48</v>
      </c>
      <c r="K32" s="12" t="n">
        <f aca="false">IF(AND(ISNUMBER(C32),ISNUMBER(D32)),D32-C32,"")</f>
        <v>36</v>
      </c>
      <c r="L32" s="12" t="n">
        <f aca="false">IF(AND(ISNUMBER(D32),ISNUMBER(E32)),E32-D32,"")</f>
        <v>13</v>
      </c>
      <c r="M32" s="12" t="n">
        <f aca="false">IF(AND(ISNUMBER(E32),ISNUMBER(F32)),F32-E32,"")</f>
        <v>95</v>
      </c>
      <c r="N32" s="12" t="n">
        <f aca="false">IF(AND(ISNUMBER(C32),ISNUMBER(F32)),F32-C32,"")</f>
        <v>144</v>
      </c>
    </row>
    <row r="33" customFormat="false" ht="15" hidden="false" customHeight="true" outlineLevel="0" collapsed="false">
      <c r="A33" s="10" t="n">
        <v>32</v>
      </c>
      <c r="B33" s="10" t="n">
        <v>39</v>
      </c>
      <c r="C33" s="11" t="n">
        <v>45806</v>
      </c>
      <c r="D33" s="11" t="n">
        <v>45856</v>
      </c>
      <c r="E33" s="11" t="n">
        <v>45890</v>
      </c>
      <c r="F33" s="11" t="n">
        <v>45940</v>
      </c>
      <c r="G33" s="10" t="s">
        <v>18</v>
      </c>
      <c r="H33" s="10" t="s">
        <v>19</v>
      </c>
      <c r="I33" s="10" t="s">
        <v>52</v>
      </c>
      <c r="J33" s="10" t="s">
        <v>53</v>
      </c>
      <c r="K33" s="12" t="n">
        <f aca="false">IF(AND(ISNUMBER(C33),ISNUMBER(D33)),D33-C33,"")</f>
        <v>50</v>
      </c>
      <c r="L33" s="12" t="n">
        <f aca="false">IF(AND(ISNUMBER(D33),ISNUMBER(E33)),E33-D33,"")</f>
        <v>34</v>
      </c>
      <c r="M33" s="12" t="n">
        <f aca="false">IF(AND(ISNUMBER(E33),ISNUMBER(F33)),F33-E33,"")</f>
        <v>50</v>
      </c>
      <c r="N33" s="12" t="n">
        <f aca="false">IF(AND(ISNUMBER(C33),ISNUMBER(F33)),F33-C33,"")</f>
        <v>134</v>
      </c>
    </row>
    <row r="34" customFormat="false" ht="15" hidden="false" customHeight="true" outlineLevel="0" collapsed="false">
      <c r="A34" s="10" t="n">
        <v>33</v>
      </c>
      <c r="B34" s="10" t="n">
        <v>77</v>
      </c>
      <c r="C34" s="11" t="n">
        <v>45821</v>
      </c>
      <c r="D34" s="11" t="n">
        <v>45846</v>
      </c>
      <c r="E34" s="11" t="n">
        <v>45889</v>
      </c>
      <c r="F34" s="11" t="n">
        <v>45947</v>
      </c>
      <c r="G34" s="10" t="s">
        <v>33</v>
      </c>
      <c r="H34" s="10" t="s">
        <v>29</v>
      </c>
      <c r="I34" s="10" t="s">
        <v>35</v>
      </c>
      <c r="J34" s="10"/>
      <c r="K34" s="12" t="n">
        <f aca="false">IF(AND(ISNUMBER(C34),ISNUMBER(D34)),D34-C34,"")</f>
        <v>25</v>
      </c>
      <c r="L34" s="12" t="n">
        <f aca="false">IF(AND(ISNUMBER(D34),ISNUMBER(E34)),E34-D34,"")</f>
        <v>43</v>
      </c>
      <c r="M34" s="12" t="n">
        <f aca="false">IF(AND(ISNUMBER(E34),ISNUMBER(F34)),F34-E34,"")</f>
        <v>58</v>
      </c>
      <c r="N34" s="12" t="n">
        <f aca="false">IF(AND(ISNUMBER(C34),ISNUMBER(F34)),F34-C34,"")</f>
        <v>126</v>
      </c>
    </row>
    <row r="35" customFormat="false" ht="15" hidden="false" customHeight="true" outlineLevel="0" collapsed="false">
      <c r="A35" s="10" t="n">
        <v>34</v>
      </c>
      <c r="B35" s="10" t="n">
        <v>79</v>
      </c>
      <c r="C35" s="11" t="n">
        <v>45772</v>
      </c>
      <c r="D35" s="11" t="n">
        <v>45790</v>
      </c>
      <c r="E35" s="11" t="n">
        <v>45828</v>
      </c>
      <c r="F35" s="11" t="n">
        <v>45957</v>
      </c>
      <c r="G35" s="10" t="s">
        <v>18</v>
      </c>
      <c r="H35" s="10" t="s">
        <v>19</v>
      </c>
      <c r="I35" s="10" t="s">
        <v>38</v>
      </c>
      <c r="J35" s="10" t="s">
        <v>45</v>
      </c>
      <c r="K35" s="12" t="n">
        <f aca="false">IF(AND(ISNUMBER(C35),ISNUMBER(D35)),D35-C35,"")</f>
        <v>18</v>
      </c>
      <c r="L35" s="12" t="n">
        <f aca="false">IF(AND(ISNUMBER(D35),ISNUMBER(E35)),E35-D35,"")</f>
        <v>38</v>
      </c>
      <c r="M35" s="12" t="n">
        <f aca="false">IF(AND(ISNUMBER(E35),ISNUMBER(F35)),F35-E35,"")</f>
        <v>129</v>
      </c>
      <c r="N35" s="12" t="n">
        <f aca="false">IF(AND(ISNUMBER(C35),ISNUMBER(F35)),F35-C35,"")</f>
        <v>185</v>
      </c>
    </row>
    <row r="36" customFormat="false" ht="15" hidden="false" customHeight="true" outlineLevel="0" collapsed="false">
      <c r="A36" s="10" t="n">
        <v>35</v>
      </c>
      <c r="B36" s="10" t="n">
        <v>73</v>
      </c>
      <c r="C36" s="11" t="n">
        <v>45872</v>
      </c>
      <c r="D36" s="11" t="n">
        <v>45891</v>
      </c>
      <c r="E36" s="11" t="n">
        <v>45907</v>
      </c>
      <c r="F36" s="11" t="n">
        <v>45963</v>
      </c>
      <c r="G36" s="10" t="s">
        <v>18</v>
      </c>
      <c r="H36" s="10" t="s">
        <v>29</v>
      </c>
      <c r="I36" s="10" t="s">
        <v>52</v>
      </c>
      <c r="J36" s="10" t="s">
        <v>53</v>
      </c>
      <c r="K36" s="12" t="n">
        <f aca="false">IF(AND(ISNUMBER(C36),ISNUMBER(D36)),D36-C36,"")</f>
        <v>19</v>
      </c>
      <c r="L36" s="12" t="n">
        <f aca="false">IF(AND(ISNUMBER(D36),ISNUMBER(E36)),E36-D36,"")</f>
        <v>16</v>
      </c>
      <c r="M36" s="12" t="n">
        <f aca="false">IF(AND(ISNUMBER(E36),ISNUMBER(F36)),F36-E36,"")</f>
        <v>56</v>
      </c>
      <c r="N36" s="12" t="n">
        <f aca="false">IF(AND(ISNUMBER(C36),ISNUMBER(F36)),F36-C36,"")</f>
        <v>91</v>
      </c>
    </row>
    <row r="37" customFormat="false" ht="15" hidden="false" customHeight="true" outlineLevel="0" collapsed="false">
      <c r="A37" s="10" t="n">
        <v>36</v>
      </c>
      <c r="B37" s="10" t="n">
        <v>51</v>
      </c>
      <c r="C37" s="11" t="n">
        <v>45836</v>
      </c>
      <c r="D37" s="11" t="n">
        <v>45886</v>
      </c>
      <c r="E37" s="11" t="n">
        <v>45938</v>
      </c>
      <c r="F37" s="11" t="n">
        <v>45966</v>
      </c>
      <c r="G37" s="10" t="s">
        <v>18</v>
      </c>
      <c r="H37" s="10" t="s">
        <v>34</v>
      </c>
      <c r="I37" s="10" t="s">
        <v>20</v>
      </c>
      <c r="J37" s="10"/>
      <c r="K37" s="12" t="n">
        <f aca="false">IF(AND(ISNUMBER(C37),ISNUMBER(D37)),D37-C37,"")</f>
        <v>50</v>
      </c>
      <c r="L37" s="12" t="n">
        <f aca="false">IF(AND(ISNUMBER(D37),ISNUMBER(E37)),E37-D37,"")</f>
        <v>52</v>
      </c>
      <c r="M37" s="12" t="n">
        <f aca="false">IF(AND(ISNUMBER(E37),ISNUMBER(F37)),F37-E37,"")</f>
        <v>28</v>
      </c>
      <c r="N37" s="12" t="n">
        <f aca="false">IF(AND(ISNUMBER(C37),ISNUMBER(F37)),F37-C37,"")</f>
        <v>130</v>
      </c>
    </row>
    <row r="38" customFormat="false" ht="15" hidden="false" customHeight="true" outlineLevel="0" collapsed="false">
      <c r="A38" s="10" t="n">
        <v>37</v>
      </c>
      <c r="B38" s="10" t="n">
        <v>65</v>
      </c>
      <c r="C38" s="11" t="n">
        <v>45875</v>
      </c>
      <c r="D38" s="11" t="n">
        <v>45900</v>
      </c>
      <c r="E38" s="11" t="n">
        <v>45928</v>
      </c>
      <c r="F38" s="11" t="n">
        <v>45973</v>
      </c>
      <c r="G38" s="10" t="s">
        <v>18</v>
      </c>
      <c r="H38" s="10" t="s">
        <v>29</v>
      </c>
      <c r="I38" s="10" t="s">
        <v>32</v>
      </c>
      <c r="J38" s="10" t="s">
        <v>54</v>
      </c>
      <c r="K38" s="12" t="n">
        <f aca="false">IF(AND(ISNUMBER(C38),ISNUMBER(D38)),D38-C38,"")</f>
        <v>25</v>
      </c>
      <c r="L38" s="12" t="n">
        <f aca="false">IF(AND(ISNUMBER(D38),ISNUMBER(E38)),E38-D38,"")</f>
        <v>28</v>
      </c>
      <c r="M38" s="12" t="n">
        <f aca="false">IF(AND(ISNUMBER(E38),ISNUMBER(F38)),F38-E38,"")</f>
        <v>45</v>
      </c>
      <c r="N38" s="12" t="n">
        <f aca="false">IF(AND(ISNUMBER(C38),ISNUMBER(F38)),F38-C38,"")</f>
        <v>98</v>
      </c>
    </row>
    <row r="39" customFormat="false" ht="15" hidden="false" customHeight="true" outlineLevel="0" collapsed="false">
      <c r="A39" s="10" t="n">
        <v>38</v>
      </c>
      <c r="B39" s="10" t="n">
        <v>53</v>
      </c>
      <c r="C39" s="11" t="n">
        <v>45835</v>
      </c>
      <c r="D39" s="11" t="n">
        <v>45881</v>
      </c>
      <c r="E39" s="11" t="n">
        <v>45904</v>
      </c>
      <c r="F39" s="11" t="n">
        <v>45973</v>
      </c>
      <c r="G39" s="10" t="s">
        <v>18</v>
      </c>
      <c r="H39" s="10" t="s">
        <v>29</v>
      </c>
      <c r="I39" s="10" t="s">
        <v>52</v>
      </c>
      <c r="J39" s="10" t="s">
        <v>55</v>
      </c>
      <c r="K39" s="12" t="n">
        <f aca="false">IF(AND(ISNUMBER(C39),ISNUMBER(D39)),D39-C39,"")</f>
        <v>46</v>
      </c>
      <c r="L39" s="12" t="n">
        <f aca="false">IF(AND(ISNUMBER(D39),ISNUMBER(E39)),E39-D39,"")</f>
        <v>23</v>
      </c>
      <c r="M39" s="12" t="n">
        <f aca="false">IF(AND(ISNUMBER(E39),ISNUMBER(F39)),F39-E39,"")</f>
        <v>69</v>
      </c>
      <c r="N39" s="12" t="n">
        <f aca="false">IF(AND(ISNUMBER(C39),ISNUMBER(F39)),F39-C39,"")</f>
        <v>138</v>
      </c>
    </row>
    <row r="40" customFormat="false" ht="15" hidden="false" customHeight="true" outlineLevel="0" collapsed="false">
      <c r="A40" s="10" t="n">
        <v>39</v>
      </c>
      <c r="B40" s="10" t="n">
        <v>70</v>
      </c>
      <c r="C40" s="11" t="n">
        <v>45912</v>
      </c>
      <c r="D40" s="11" t="n">
        <v>45938</v>
      </c>
      <c r="E40" s="11" t="n">
        <v>45957</v>
      </c>
      <c r="F40" s="11" t="n">
        <v>45987</v>
      </c>
      <c r="G40" s="10" t="s">
        <v>18</v>
      </c>
      <c r="H40" s="10" t="s">
        <v>29</v>
      </c>
      <c r="I40" s="10" t="s">
        <v>32</v>
      </c>
      <c r="J40" s="10"/>
      <c r="K40" s="12" t="n">
        <f aca="false">IF(AND(ISNUMBER(C40),ISNUMBER(D40)),D40-C40,"")</f>
        <v>26</v>
      </c>
      <c r="L40" s="12" t="n">
        <f aca="false">IF(AND(ISNUMBER(D40),ISNUMBER(E40)),E40-D40,"")</f>
        <v>19</v>
      </c>
      <c r="M40" s="12" t="n">
        <f aca="false">IF(AND(ISNUMBER(E40),ISNUMBER(F40)),F40-E40,"")</f>
        <v>30</v>
      </c>
      <c r="N40" s="12" t="n">
        <f aca="false">IF(AND(ISNUMBER(C40),ISNUMBER(F40)),F40-C40,"")</f>
        <v>75</v>
      </c>
    </row>
    <row r="41" customFormat="false" ht="15" hidden="false" customHeight="true" outlineLevel="0" collapsed="false">
      <c r="A41" s="10" t="n">
        <v>40</v>
      </c>
      <c r="B41" s="10" t="n">
        <v>70</v>
      </c>
      <c r="C41" s="11" t="n">
        <v>45832</v>
      </c>
      <c r="D41" s="11" t="n">
        <v>45873</v>
      </c>
      <c r="E41" s="11" t="n">
        <v>45903</v>
      </c>
      <c r="F41" s="11" t="n">
        <v>45988</v>
      </c>
      <c r="G41" s="10" t="s">
        <v>18</v>
      </c>
      <c r="H41" s="10" t="s">
        <v>29</v>
      </c>
      <c r="I41" s="10" t="s">
        <v>38</v>
      </c>
      <c r="J41" s="10" t="s">
        <v>41</v>
      </c>
      <c r="K41" s="12" t="n">
        <f aca="false">IF(AND(ISNUMBER(C41),ISNUMBER(D41)),D41-C41,"")</f>
        <v>41</v>
      </c>
      <c r="L41" s="12" t="n">
        <f aca="false">IF(AND(ISNUMBER(D41),ISNUMBER(E41)),E41-D41,"")</f>
        <v>30</v>
      </c>
      <c r="M41" s="12" t="n">
        <f aca="false">IF(AND(ISNUMBER(E41),ISNUMBER(F41)),F41-E41,"")</f>
        <v>85</v>
      </c>
      <c r="N41" s="12" t="n">
        <f aca="false">IF(AND(ISNUMBER(C41),ISNUMBER(F41)),F41-C41,"")</f>
        <v>156</v>
      </c>
    </row>
    <row r="42" customFormat="false" ht="15" hidden="false" customHeight="true" outlineLevel="0" collapsed="false">
      <c r="A42" s="10" t="n">
        <v>41</v>
      </c>
      <c r="B42" s="10" t="n">
        <v>57</v>
      </c>
      <c r="C42" s="11" t="n">
        <v>45913</v>
      </c>
      <c r="D42" s="11" t="n">
        <v>45953</v>
      </c>
      <c r="E42" s="11" t="n">
        <v>45965</v>
      </c>
      <c r="F42" s="11" t="n">
        <v>45991</v>
      </c>
      <c r="G42" s="10" t="s">
        <v>18</v>
      </c>
      <c r="H42" s="10" t="s">
        <v>34</v>
      </c>
      <c r="I42" s="10" t="s">
        <v>20</v>
      </c>
      <c r="J42" s="10"/>
      <c r="K42" s="12" t="n">
        <f aca="false">IF(AND(ISNUMBER(C42),ISNUMBER(D42)),D42-C42,"")</f>
        <v>40</v>
      </c>
      <c r="L42" s="12" t="n">
        <f aca="false">IF(AND(ISNUMBER(D42),ISNUMBER(E42)),E42-D42,"")</f>
        <v>12</v>
      </c>
      <c r="M42" s="12" t="n">
        <f aca="false">IF(AND(ISNUMBER(E42),ISNUMBER(F42)),F42-E42,"")</f>
        <v>26</v>
      </c>
      <c r="N42" s="12" t="n">
        <f aca="false">IF(AND(ISNUMBER(C42),ISNUMBER(F42)),F42-C42,"")</f>
        <v>78</v>
      </c>
    </row>
    <row r="43" customFormat="false" ht="15" hidden="false" customHeight="true" outlineLevel="0" collapsed="false">
      <c r="A43" s="10" t="n">
        <v>42</v>
      </c>
      <c r="B43" s="10" t="n">
        <v>73</v>
      </c>
      <c r="C43" s="11" t="n">
        <v>45963</v>
      </c>
      <c r="D43" s="11" t="n">
        <v>45976</v>
      </c>
      <c r="E43" s="11" t="n">
        <v>45983</v>
      </c>
      <c r="F43" s="11" t="n">
        <v>45995</v>
      </c>
      <c r="G43" s="10" t="s">
        <v>18</v>
      </c>
      <c r="H43" s="10" t="s">
        <v>19</v>
      </c>
      <c r="I43" s="10" t="s">
        <v>39</v>
      </c>
      <c r="J43" s="10"/>
      <c r="K43" s="12" t="n">
        <f aca="false">IF(AND(ISNUMBER(C43),ISNUMBER(D43)),D43-C43,"")</f>
        <v>13</v>
      </c>
      <c r="L43" s="12" t="n">
        <f aca="false">IF(AND(ISNUMBER(D43),ISNUMBER(E43)),E43-D43,"")</f>
        <v>7</v>
      </c>
      <c r="M43" s="12" t="n">
        <f aca="false">IF(AND(ISNUMBER(E43),ISNUMBER(F43)),F43-E43,"")</f>
        <v>12</v>
      </c>
      <c r="N43" s="12" t="n">
        <f aca="false">IF(AND(ISNUMBER(C43),ISNUMBER(F43)),F43-C43,"")</f>
        <v>32</v>
      </c>
    </row>
    <row r="44" customFormat="false" ht="15" hidden="false" customHeight="true" outlineLevel="0" collapsed="false">
      <c r="A44" s="10" t="n">
        <v>43</v>
      </c>
      <c r="B44" s="10" t="n">
        <v>52</v>
      </c>
      <c r="C44" s="11" t="n">
        <v>45889</v>
      </c>
      <c r="D44" s="11" t="n">
        <v>45933</v>
      </c>
      <c r="E44" s="11" t="n">
        <v>45946</v>
      </c>
      <c r="F44" s="11" t="n">
        <v>45997</v>
      </c>
      <c r="G44" s="10" t="s">
        <v>33</v>
      </c>
      <c r="H44" s="10" t="s">
        <v>29</v>
      </c>
      <c r="I44" s="10" t="s">
        <v>32</v>
      </c>
      <c r="J44" s="10" t="s">
        <v>56</v>
      </c>
      <c r="K44" s="12" t="n">
        <f aca="false">IF(AND(ISNUMBER(C44),ISNUMBER(D44)),D44-C44,"")</f>
        <v>44</v>
      </c>
      <c r="L44" s="12" t="n">
        <f aca="false">IF(AND(ISNUMBER(D44),ISNUMBER(E44)),E44-D44,"")</f>
        <v>13</v>
      </c>
      <c r="M44" s="12" t="n">
        <f aca="false">IF(AND(ISNUMBER(E44),ISNUMBER(F44)),F44-E44,"")</f>
        <v>51</v>
      </c>
      <c r="N44" s="12" t="n">
        <f aca="false">IF(AND(ISNUMBER(C44),ISNUMBER(F44)),F44-C44,"")</f>
        <v>108</v>
      </c>
    </row>
    <row r="45" customFormat="false" ht="15" hidden="false" customHeight="true" outlineLevel="0" collapsed="false">
      <c r="A45" s="10" t="n">
        <v>44</v>
      </c>
      <c r="B45" s="10" t="n">
        <v>61</v>
      </c>
      <c r="C45" s="11" t="n">
        <v>45962</v>
      </c>
      <c r="D45" s="11" t="n">
        <v>45973</v>
      </c>
      <c r="E45" s="11" t="n">
        <v>45979</v>
      </c>
      <c r="F45" s="11" t="n">
        <v>45997</v>
      </c>
      <c r="G45" s="10" t="s">
        <v>18</v>
      </c>
      <c r="H45" s="10" t="s">
        <v>29</v>
      </c>
      <c r="I45" s="10" t="s">
        <v>39</v>
      </c>
      <c r="J45" s="10" t="s">
        <v>56</v>
      </c>
      <c r="K45" s="12" t="n">
        <f aca="false">IF(AND(ISNUMBER(C45),ISNUMBER(D45)),D45-C45,"")</f>
        <v>11</v>
      </c>
      <c r="L45" s="12" t="n">
        <f aca="false">IF(AND(ISNUMBER(D45),ISNUMBER(E45)),E45-D45,"")</f>
        <v>6</v>
      </c>
      <c r="M45" s="12" t="n">
        <f aca="false">IF(AND(ISNUMBER(E45),ISNUMBER(F45)),F45-E45,"")</f>
        <v>18</v>
      </c>
      <c r="N45" s="12" t="n">
        <f aca="false">IF(AND(ISNUMBER(C45),ISNUMBER(F45)),F45-C45,"")</f>
        <v>35</v>
      </c>
    </row>
    <row r="46" customFormat="false" ht="15" hidden="false" customHeight="true" outlineLevel="0" collapsed="false">
      <c r="A46" s="10" t="n">
        <v>45</v>
      </c>
      <c r="B46" s="10" t="n">
        <v>57</v>
      </c>
      <c r="C46" s="11" t="n">
        <v>45878</v>
      </c>
      <c r="D46" s="11" t="n">
        <v>45903</v>
      </c>
      <c r="E46" s="11" t="n">
        <v>45915</v>
      </c>
      <c r="F46" s="11" t="n">
        <v>45998</v>
      </c>
      <c r="G46" s="10" t="s">
        <v>18</v>
      </c>
      <c r="H46" s="10" t="s">
        <v>19</v>
      </c>
      <c r="I46" s="10" t="s">
        <v>36</v>
      </c>
      <c r="J46" s="10" t="s">
        <v>57</v>
      </c>
      <c r="K46" s="12" t="n">
        <f aca="false">IF(AND(ISNUMBER(C46),ISNUMBER(D46)),D46-C46,"")</f>
        <v>25</v>
      </c>
      <c r="L46" s="12" t="n">
        <f aca="false">IF(AND(ISNUMBER(D46),ISNUMBER(E46)),E46-D46,"")</f>
        <v>12</v>
      </c>
      <c r="M46" s="12" t="n">
        <f aca="false">IF(AND(ISNUMBER(E46),ISNUMBER(F46)),F46-E46,"")</f>
        <v>83</v>
      </c>
      <c r="N46" s="12" t="n">
        <f aca="false">IF(AND(ISNUMBER(C46),ISNUMBER(F46)),F46-C46,"")</f>
        <v>120</v>
      </c>
    </row>
    <row r="47" customFormat="false" ht="15" hidden="false" customHeight="true" outlineLevel="0" collapsed="false">
      <c r="A47" s="10" t="n">
        <v>46</v>
      </c>
      <c r="B47" s="10" t="n">
        <v>66</v>
      </c>
      <c r="C47" s="11" t="n">
        <v>45932</v>
      </c>
      <c r="D47" s="11" t="n">
        <v>45952</v>
      </c>
      <c r="E47" s="11" t="n">
        <v>45971</v>
      </c>
      <c r="F47" s="11" t="n">
        <v>45999</v>
      </c>
      <c r="G47" s="10" t="s">
        <v>18</v>
      </c>
      <c r="H47" s="10" t="s">
        <v>29</v>
      </c>
      <c r="I47" s="10" t="s">
        <v>32</v>
      </c>
      <c r="J47" s="10" t="s">
        <v>50</v>
      </c>
      <c r="K47" s="12" t="n">
        <f aca="false">IF(AND(ISNUMBER(C47),ISNUMBER(D47)),D47-C47,"")</f>
        <v>20</v>
      </c>
      <c r="L47" s="12" t="n">
        <f aca="false">IF(AND(ISNUMBER(D47),ISNUMBER(E47)),E47-D47,"")</f>
        <v>19</v>
      </c>
      <c r="M47" s="12" t="n">
        <f aca="false">IF(AND(ISNUMBER(E47),ISNUMBER(F47)),F47-E47,"")</f>
        <v>28</v>
      </c>
      <c r="N47" s="12" t="n">
        <f aca="false">IF(AND(ISNUMBER(C47),ISNUMBER(F47)),F47-C47,"")</f>
        <v>67</v>
      </c>
    </row>
    <row r="48" customFormat="false" ht="15" hidden="false" customHeight="true" outlineLevel="0" collapsed="false">
      <c r="A48" s="10" t="n">
        <v>47</v>
      </c>
      <c r="B48" s="10" t="n">
        <v>86</v>
      </c>
      <c r="C48" s="11" t="n">
        <v>45897</v>
      </c>
      <c r="D48" s="11" t="n">
        <v>45931</v>
      </c>
      <c r="E48" s="11" t="n">
        <v>45959</v>
      </c>
      <c r="F48" s="11" t="n">
        <v>46000</v>
      </c>
      <c r="G48" s="10" t="s">
        <v>18</v>
      </c>
      <c r="H48" s="10" t="s">
        <v>29</v>
      </c>
      <c r="I48" s="10" t="s">
        <v>32</v>
      </c>
      <c r="J48" s="10"/>
      <c r="K48" s="12" t="n">
        <f aca="false">IF(AND(ISNUMBER(C48),ISNUMBER(D48)),D48-C48,"")</f>
        <v>34</v>
      </c>
      <c r="L48" s="12" t="n">
        <f aca="false">IF(AND(ISNUMBER(D48),ISNUMBER(E48)),E48-D48,"")</f>
        <v>28</v>
      </c>
      <c r="M48" s="12" t="n">
        <f aca="false">IF(AND(ISNUMBER(E48),ISNUMBER(F48)),F48-E48,"")</f>
        <v>41</v>
      </c>
      <c r="N48" s="12" t="n">
        <f aca="false">IF(AND(ISNUMBER(C48),ISNUMBER(F48)),F48-C48,"")</f>
        <v>103</v>
      </c>
    </row>
    <row r="49" customFormat="false" ht="15" hidden="false" customHeight="true" outlineLevel="0" collapsed="false">
      <c r="A49" s="10" t="n">
        <v>48</v>
      </c>
      <c r="B49" s="10" t="n">
        <v>82</v>
      </c>
      <c r="C49" s="11" t="n">
        <v>45882</v>
      </c>
      <c r="D49" s="11" t="n">
        <v>45915</v>
      </c>
      <c r="E49" s="11" t="n">
        <v>45942</v>
      </c>
      <c r="F49" s="11" t="n">
        <v>46009</v>
      </c>
      <c r="G49" s="10" t="s">
        <v>18</v>
      </c>
      <c r="H49" s="10" t="s">
        <v>29</v>
      </c>
      <c r="I49" s="10" t="s">
        <v>52</v>
      </c>
      <c r="J49" s="10" t="s">
        <v>53</v>
      </c>
      <c r="K49" s="12" t="n">
        <f aca="false">IF(AND(ISNUMBER(C49),ISNUMBER(D49)),D49-C49,"")</f>
        <v>33</v>
      </c>
      <c r="L49" s="12" t="n">
        <f aca="false">IF(AND(ISNUMBER(D49),ISNUMBER(E49)),E49-D49,"")</f>
        <v>27</v>
      </c>
      <c r="M49" s="12" t="n">
        <f aca="false">IF(AND(ISNUMBER(E49),ISNUMBER(F49)),F49-E49,"")</f>
        <v>67</v>
      </c>
      <c r="N49" s="12" t="n">
        <f aca="false">IF(AND(ISNUMBER(C49),ISNUMBER(F49)),F49-C49,"")</f>
        <v>127</v>
      </c>
    </row>
    <row r="50" customFormat="false" ht="15" hidden="false" customHeight="true" outlineLevel="0" collapsed="false">
      <c r="A50" s="10" t="n">
        <v>49</v>
      </c>
      <c r="B50" s="10" t="n">
        <v>62</v>
      </c>
      <c r="C50" s="11" t="n">
        <v>45805</v>
      </c>
      <c r="D50" s="11" t="n">
        <v>45841</v>
      </c>
      <c r="E50" s="11" t="n">
        <v>45859</v>
      </c>
      <c r="F50" s="11" t="n">
        <v>46015</v>
      </c>
      <c r="G50" s="10" t="s">
        <v>18</v>
      </c>
      <c r="H50" s="10" t="s">
        <v>19</v>
      </c>
      <c r="I50" s="10" t="s">
        <v>38</v>
      </c>
      <c r="J50" s="10" t="s">
        <v>43</v>
      </c>
      <c r="K50" s="12" t="n">
        <f aca="false">IF(AND(ISNUMBER(C50),ISNUMBER(D50)),D50-C50,"")</f>
        <v>36</v>
      </c>
      <c r="L50" s="12" t="n">
        <f aca="false">IF(AND(ISNUMBER(D50),ISNUMBER(E50)),E50-D50,"")</f>
        <v>18</v>
      </c>
      <c r="M50" s="12" t="n">
        <f aca="false">IF(AND(ISNUMBER(E50),ISNUMBER(F50)),F50-E50,"")</f>
        <v>156</v>
      </c>
      <c r="N50" s="12" t="n">
        <f aca="false">IF(AND(ISNUMBER(C50),ISNUMBER(F50)),F50-C50,"")</f>
        <v>210</v>
      </c>
    </row>
    <row r="51" customFormat="false" ht="15" hidden="false" customHeight="true" outlineLevel="0" collapsed="false">
      <c r="A51" s="10" t="n">
        <v>50</v>
      </c>
      <c r="B51" s="10" t="n">
        <v>61</v>
      </c>
      <c r="C51" s="11" t="n">
        <v>45853</v>
      </c>
      <c r="D51" s="11" t="n">
        <v>45889</v>
      </c>
      <c r="E51" s="11" t="n">
        <v>45917</v>
      </c>
      <c r="F51" s="11" t="n">
        <v>46026</v>
      </c>
      <c r="G51" s="10" t="s">
        <v>18</v>
      </c>
      <c r="H51" s="10" t="s">
        <v>29</v>
      </c>
      <c r="I51" s="10" t="s">
        <v>38</v>
      </c>
      <c r="J51" s="10"/>
      <c r="K51" s="12" t="n">
        <f aca="false">IF(AND(ISNUMBER(C51),ISNUMBER(D51)),D51-C51,"")</f>
        <v>36</v>
      </c>
      <c r="L51" s="12" t="n">
        <f aca="false">IF(AND(ISNUMBER(D51),ISNUMBER(E51)),E51-D51,"")</f>
        <v>28</v>
      </c>
      <c r="M51" s="12" t="n">
        <f aca="false">IF(AND(ISNUMBER(E51),ISNUMBER(F51)),F51-E51,"")</f>
        <v>109</v>
      </c>
      <c r="N51" s="12" t="n">
        <f aca="false">IF(AND(ISNUMBER(C51),ISNUMBER(F51)),F51-C51,"")</f>
        <v>173</v>
      </c>
    </row>
    <row r="52" customFormat="false" ht="15" hidden="false" customHeight="true" outlineLevel="0" collapsed="false">
      <c r="A52" s="10" t="n">
        <v>51</v>
      </c>
      <c r="B52" s="10" t="n">
        <v>62</v>
      </c>
      <c r="C52" s="11" t="n">
        <v>45990</v>
      </c>
      <c r="D52" s="11" t="n">
        <v>46003</v>
      </c>
      <c r="E52" s="11"/>
      <c r="F52" s="11" t="n">
        <v>46030</v>
      </c>
      <c r="G52" s="10" t="s">
        <v>18</v>
      </c>
      <c r="H52" s="10" t="s">
        <v>19</v>
      </c>
      <c r="I52" s="10" t="s">
        <v>39</v>
      </c>
      <c r="J52" s="10" t="s">
        <v>58</v>
      </c>
      <c r="K52" s="12" t="n">
        <f aca="false">IF(AND(ISNUMBER(C52),ISNUMBER(D52)),D52-C52,"")</f>
        <v>13</v>
      </c>
      <c r="L52" s="12" t="str">
        <f aca="false">IF(AND(ISNUMBER(D52),ISNUMBER(E52)),E52-D52,"")</f>
        <v/>
      </c>
      <c r="M52" s="12" t="str">
        <f aca="false">IF(AND(ISNUMBER(E52),ISNUMBER(F52)),F52-E52,"")</f>
        <v/>
      </c>
      <c r="N52" s="12" t="n">
        <f aca="false">IF(AND(ISNUMBER(C52),ISNUMBER(F52)),F52-C52,"")</f>
        <v>40</v>
      </c>
    </row>
    <row r="53" customFormat="false" ht="15" hidden="false" customHeight="true" outlineLevel="0" collapsed="false">
      <c r="A53" s="10" t="n">
        <v>52</v>
      </c>
      <c r="B53" s="10" t="n">
        <v>53</v>
      </c>
      <c r="C53" s="11" t="n">
        <v>45883</v>
      </c>
      <c r="D53" s="11" t="n">
        <v>45917</v>
      </c>
      <c r="E53" s="11" t="n">
        <v>45936</v>
      </c>
      <c r="F53" s="11" t="n">
        <v>46030</v>
      </c>
      <c r="G53" s="10" t="s">
        <v>18</v>
      </c>
      <c r="H53" s="10" t="s">
        <v>29</v>
      </c>
      <c r="I53" s="10" t="s">
        <v>47</v>
      </c>
      <c r="J53" s="10" t="s">
        <v>59</v>
      </c>
      <c r="K53" s="12" t="n">
        <f aca="false">IF(AND(ISNUMBER(C53),ISNUMBER(D53)),D53-C53,"")</f>
        <v>34</v>
      </c>
      <c r="L53" s="12" t="n">
        <f aca="false">IF(AND(ISNUMBER(D53),ISNUMBER(E53)),E53-D53,"")</f>
        <v>19</v>
      </c>
      <c r="M53" s="12" t="n">
        <f aca="false">IF(AND(ISNUMBER(E53),ISNUMBER(F53)),F53-E53,"")</f>
        <v>94</v>
      </c>
      <c r="N53" s="12" t="n">
        <f aca="false">IF(AND(ISNUMBER(C53),ISNUMBER(F53)),F53-C53,"")</f>
        <v>147</v>
      </c>
    </row>
    <row r="54" customFormat="false" ht="15" hidden="false" customHeight="true" outlineLevel="0" collapsed="false">
      <c r="A54" s="10" t="n">
        <v>53</v>
      </c>
      <c r="B54" s="10" t="n">
        <v>73</v>
      </c>
      <c r="C54" s="11" t="n">
        <v>45908</v>
      </c>
      <c r="D54" s="11" t="n">
        <v>45928</v>
      </c>
      <c r="E54" s="11" t="n">
        <v>45946</v>
      </c>
      <c r="F54" s="11" t="n">
        <v>46031</v>
      </c>
      <c r="G54" s="10" t="s">
        <v>18</v>
      </c>
      <c r="H54" s="10" t="s">
        <v>19</v>
      </c>
      <c r="I54" s="10" t="s">
        <v>47</v>
      </c>
      <c r="J54" s="10" t="s">
        <v>60</v>
      </c>
      <c r="K54" s="12" t="n">
        <f aca="false">IF(AND(ISNUMBER(C54),ISNUMBER(D54)),D54-C54,"")</f>
        <v>20</v>
      </c>
      <c r="L54" s="12" t="n">
        <f aca="false">IF(AND(ISNUMBER(D54),ISNUMBER(E54)),E54-D54,"")</f>
        <v>18</v>
      </c>
      <c r="M54" s="12" t="n">
        <f aca="false">IF(AND(ISNUMBER(E54),ISNUMBER(F54)),F54-E54,"")</f>
        <v>85</v>
      </c>
      <c r="N54" s="12" t="n">
        <f aca="false">IF(AND(ISNUMBER(C54),ISNUMBER(F54)),F54-C54,"")</f>
        <v>123</v>
      </c>
    </row>
    <row r="55" customFormat="false" ht="15" hidden="false" customHeight="true" outlineLevel="0" collapsed="false">
      <c r="A55" s="10" t="n">
        <v>54</v>
      </c>
      <c r="B55" s="10" t="n">
        <v>88</v>
      </c>
      <c r="C55" s="11" t="n">
        <v>45891</v>
      </c>
      <c r="D55" s="11" t="n">
        <v>45933</v>
      </c>
      <c r="E55" s="11" t="n">
        <v>45950</v>
      </c>
      <c r="F55" s="11" t="n">
        <v>46038</v>
      </c>
      <c r="G55" s="10" t="s">
        <v>18</v>
      </c>
      <c r="H55" s="10" t="s">
        <v>19</v>
      </c>
      <c r="I55" s="10" t="s">
        <v>20</v>
      </c>
      <c r="J55" s="10"/>
      <c r="K55" s="12" t="n">
        <f aca="false">IF(AND(ISNUMBER(C55),ISNUMBER(D55)),D55-C55,"")</f>
        <v>42</v>
      </c>
      <c r="L55" s="12" t="n">
        <f aca="false">IF(AND(ISNUMBER(D55),ISNUMBER(E55)),E55-D55,"")</f>
        <v>17</v>
      </c>
      <c r="M55" s="12" t="n">
        <f aca="false">IF(AND(ISNUMBER(E55),ISNUMBER(F55)),F55-E55,"")</f>
        <v>88</v>
      </c>
      <c r="N55" s="12" t="n">
        <f aca="false">IF(AND(ISNUMBER(C55),ISNUMBER(F55)),F55-C55,"")</f>
        <v>147</v>
      </c>
    </row>
    <row r="56" customFormat="false" ht="15" hidden="false" customHeight="true" outlineLevel="0" collapsed="false">
      <c r="A56" s="10" t="n">
        <v>55</v>
      </c>
      <c r="B56" s="10" t="n">
        <v>60</v>
      </c>
      <c r="C56" s="11" t="n">
        <v>45892</v>
      </c>
      <c r="D56" s="11" t="n">
        <v>45920</v>
      </c>
      <c r="E56" s="11" t="n">
        <v>45951</v>
      </c>
      <c r="F56" s="11" t="n">
        <v>46040</v>
      </c>
      <c r="G56" s="10" t="s">
        <v>18</v>
      </c>
      <c r="H56" s="10" t="s">
        <v>34</v>
      </c>
      <c r="I56" s="10" t="s">
        <v>52</v>
      </c>
      <c r="J56" s="10" t="s">
        <v>53</v>
      </c>
      <c r="K56" s="12" t="n">
        <f aca="false">IF(AND(ISNUMBER(C56),ISNUMBER(D56)),D56-C56,"")</f>
        <v>28</v>
      </c>
      <c r="L56" s="12" t="n">
        <f aca="false">IF(AND(ISNUMBER(D56),ISNUMBER(E56)),E56-D56,"")</f>
        <v>31</v>
      </c>
      <c r="M56" s="12" t="n">
        <f aca="false">IF(AND(ISNUMBER(E56),ISNUMBER(F56)),F56-E56,"")</f>
        <v>89</v>
      </c>
      <c r="N56" s="12" t="n">
        <f aca="false">IF(AND(ISNUMBER(C56),ISNUMBER(F56)),F56-C56,"")</f>
        <v>148</v>
      </c>
    </row>
    <row r="57" customFormat="false" ht="15" hidden="false" customHeight="true" outlineLevel="0" collapsed="false">
      <c r="A57" s="10" t="n">
        <v>56</v>
      </c>
      <c r="B57" s="10" t="n">
        <v>54</v>
      </c>
      <c r="C57" s="11" t="n">
        <v>45856</v>
      </c>
      <c r="D57" s="11" t="n">
        <v>45904</v>
      </c>
      <c r="E57" s="11" t="n">
        <v>45984</v>
      </c>
      <c r="F57" s="11" t="n">
        <v>46045</v>
      </c>
      <c r="G57" s="10" t="s">
        <v>18</v>
      </c>
      <c r="H57" s="10" t="s">
        <v>34</v>
      </c>
      <c r="I57" s="10" t="s">
        <v>20</v>
      </c>
      <c r="J57" s="10" t="s">
        <v>61</v>
      </c>
      <c r="K57" s="12" t="n">
        <f aca="false">IF(AND(ISNUMBER(C57),ISNUMBER(D57)),D57-C57,"")</f>
        <v>48</v>
      </c>
      <c r="L57" s="12" t="n">
        <f aca="false">IF(AND(ISNUMBER(D57),ISNUMBER(E57)),E57-D57,"")</f>
        <v>80</v>
      </c>
      <c r="M57" s="12" t="n">
        <f aca="false">IF(AND(ISNUMBER(E57),ISNUMBER(F57)),F57-E57,"")</f>
        <v>61</v>
      </c>
      <c r="N57" s="12" t="n">
        <f aca="false">IF(AND(ISNUMBER(C57),ISNUMBER(F57)),F57-C57,"")</f>
        <v>189</v>
      </c>
    </row>
    <row r="58" customFormat="false" ht="15" hidden="false" customHeight="true" outlineLevel="0" collapsed="false">
      <c r="A58" s="10" t="n">
        <v>57</v>
      </c>
      <c r="B58" s="10" t="n">
        <v>54</v>
      </c>
      <c r="C58" s="11" t="n">
        <v>45964</v>
      </c>
      <c r="D58" s="11" t="n">
        <v>45989</v>
      </c>
      <c r="E58" s="11" t="n">
        <v>46009</v>
      </c>
      <c r="F58" s="11" t="n">
        <v>46052</v>
      </c>
      <c r="G58" s="10" t="s">
        <v>18</v>
      </c>
      <c r="H58" s="10" t="s">
        <v>29</v>
      </c>
      <c r="I58" s="10" t="s">
        <v>32</v>
      </c>
      <c r="J58" s="10" t="s">
        <v>44</v>
      </c>
      <c r="K58" s="12" t="n">
        <f aca="false">IF(AND(ISNUMBER(C58),ISNUMBER(D58)),D58-C58,"")</f>
        <v>25</v>
      </c>
      <c r="L58" s="12" t="n">
        <f aca="false">IF(AND(ISNUMBER(D58),ISNUMBER(E58)),E58-D58,"")</f>
        <v>20</v>
      </c>
      <c r="M58" s="12" t="n">
        <f aca="false">IF(AND(ISNUMBER(E58),ISNUMBER(F58)),F58-E58,"")</f>
        <v>43</v>
      </c>
      <c r="N58" s="12" t="n">
        <f aca="false">IF(AND(ISNUMBER(C58),ISNUMBER(F58)),F58-C58,"")</f>
        <v>88</v>
      </c>
    </row>
    <row r="59" customFormat="false" ht="15" hidden="false" customHeight="true" outlineLevel="0" collapsed="false">
      <c r="A59" s="10" t="n">
        <v>58</v>
      </c>
      <c r="B59" s="10" t="n">
        <v>58</v>
      </c>
      <c r="C59" s="11" t="n">
        <v>45935</v>
      </c>
      <c r="D59" s="11" t="n">
        <v>45992</v>
      </c>
      <c r="E59" s="11" t="n">
        <v>46006</v>
      </c>
      <c r="F59" s="11" t="n">
        <v>46063</v>
      </c>
      <c r="G59" s="10" t="s">
        <v>18</v>
      </c>
      <c r="H59" s="10" t="s">
        <v>29</v>
      </c>
      <c r="I59" s="10" t="s">
        <v>20</v>
      </c>
      <c r="J59" s="10" t="s">
        <v>56</v>
      </c>
      <c r="K59" s="12" t="n">
        <f aca="false">IF(AND(ISNUMBER(C59),ISNUMBER(D59)),D59-C59,"")</f>
        <v>57</v>
      </c>
      <c r="L59" s="12" t="n">
        <f aca="false">IF(AND(ISNUMBER(D59),ISNUMBER(E59)),E59-D59,"")</f>
        <v>14</v>
      </c>
      <c r="M59" s="12" t="n">
        <f aca="false">IF(AND(ISNUMBER(E59),ISNUMBER(F59)),F59-E59,"")</f>
        <v>57</v>
      </c>
      <c r="N59" s="12" t="n">
        <f aca="false">IF(AND(ISNUMBER(C59),ISNUMBER(F59)),F59-C59,"")</f>
        <v>128</v>
      </c>
    </row>
    <row r="60" customFormat="false" ht="15" hidden="false" customHeight="true" outlineLevel="0" collapsed="false">
      <c r="A60" s="10" t="n">
        <v>59</v>
      </c>
      <c r="B60" s="10" t="n">
        <v>49</v>
      </c>
      <c r="C60" s="11" t="n">
        <v>45925</v>
      </c>
      <c r="D60" s="11" t="n">
        <v>45959</v>
      </c>
      <c r="E60" s="11" t="n">
        <v>45967</v>
      </c>
      <c r="F60" s="11" t="n">
        <v>46064</v>
      </c>
      <c r="G60" s="10" t="s">
        <v>18</v>
      </c>
      <c r="H60" s="10" t="s">
        <v>19</v>
      </c>
      <c r="I60" s="10" t="s">
        <v>38</v>
      </c>
      <c r="J60" s="10"/>
      <c r="K60" s="12" t="n">
        <f aca="false">IF(AND(ISNUMBER(C60),ISNUMBER(D60)),D60-C60,"")</f>
        <v>34</v>
      </c>
      <c r="L60" s="12" t="n">
        <f aca="false">IF(AND(ISNUMBER(D60),ISNUMBER(E60)),E60-D60,"")</f>
        <v>8</v>
      </c>
      <c r="M60" s="12" t="n">
        <f aca="false">IF(AND(ISNUMBER(E60),ISNUMBER(F60)),F60-E60,"")</f>
        <v>97</v>
      </c>
      <c r="N60" s="12" t="n">
        <f aca="false">IF(AND(ISNUMBER(C60),ISNUMBER(F60)),F60-C60,"")</f>
        <v>139</v>
      </c>
    </row>
    <row r="61" customFormat="false" ht="15" hidden="false" customHeight="true" outlineLevel="0" collapsed="false">
      <c r="A61" s="10" t="n">
        <v>60</v>
      </c>
      <c r="B61" s="10" t="n">
        <v>62</v>
      </c>
      <c r="C61" s="11" t="n">
        <v>45895</v>
      </c>
      <c r="D61" s="11" t="n">
        <v>45921</v>
      </c>
      <c r="E61" s="11" t="n">
        <v>45952</v>
      </c>
      <c r="F61" s="11" t="n">
        <v>46066</v>
      </c>
      <c r="G61" s="10" t="s">
        <v>18</v>
      </c>
      <c r="H61" s="10" t="s">
        <v>29</v>
      </c>
      <c r="I61" s="10" t="s">
        <v>52</v>
      </c>
      <c r="J61" s="10" t="s">
        <v>62</v>
      </c>
      <c r="K61" s="12" t="n">
        <f aca="false">IF(AND(ISNUMBER(C61),ISNUMBER(D61)),D61-C61,"")</f>
        <v>26</v>
      </c>
      <c r="L61" s="12" t="n">
        <f aca="false">IF(AND(ISNUMBER(D61),ISNUMBER(E61)),E61-D61,"")</f>
        <v>31</v>
      </c>
      <c r="M61" s="12" t="n">
        <f aca="false">IF(AND(ISNUMBER(E61),ISNUMBER(F61)),F61-E61,"")</f>
        <v>114</v>
      </c>
      <c r="N61" s="12" t="n">
        <f aca="false">IF(AND(ISNUMBER(C61),ISNUMBER(F61)),F61-C61,"")</f>
        <v>171</v>
      </c>
    </row>
    <row r="62" customFormat="false" ht="15" hidden="false" customHeight="true" outlineLevel="0" collapsed="false">
      <c r="A62" s="10" t="n">
        <v>61</v>
      </c>
      <c r="B62" s="10" t="n">
        <v>48</v>
      </c>
      <c r="C62" s="11" t="n">
        <v>45916</v>
      </c>
      <c r="D62" s="11" t="n">
        <v>45944</v>
      </c>
      <c r="E62" s="11" t="n">
        <v>45965</v>
      </c>
      <c r="F62" s="11" t="n">
        <v>46074</v>
      </c>
      <c r="G62" s="10" t="s">
        <v>18</v>
      </c>
      <c r="H62" s="10" t="s">
        <v>19</v>
      </c>
      <c r="I62" s="10" t="s">
        <v>38</v>
      </c>
      <c r="J62" s="10"/>
      <c r="K62" s="12" t="n">
        <f aca="false">IF(AND(ISNUMBER(C62),ISNUMBER(D62)),D62-C62,"")</f>
        <v>28</v>
      </c>
      <c r="L62" s="12" t="n">
        <f aca="false">IF(AND(ISNUMBER(D62),ISNUMBER(E62)),E62-D62,"")</f>
        <v>21</v>
      </c>
      <c r="M62" s="12" t="n">
        <f aca="false">IF(AND(ISNUMBER(E62),ISNUMBER(F62)),F62-E62,"")</f>
        <v>109</v>
      </c>
      <c r="N62" s="12" t="n">
        <f aca="false">IF(AND(ISNUMBER(C62),ISNUMBER(F62)),F62-C62,"")</f>
        <v>158</v>
      </c>
    </row>
    <row r="63" customFormat="false" ht="15" hidden="false" customHeight="true" outlineLevel="0" collapsed="false">
      <c r="A63" s="10" t="n">
        <v>62</v>
      </c>
      <c r="B63" s="10" t="n">
        <v>65</v>
      </c>
      <c r="C63" s="11" t="n">
        <v>46033</v>
      </c>
      <c r="D63" s="11" t="n">
        <v>46052</v>
      </c>
      <c r="E63" s="11" t="n">
        <v>46060</v>
      </c>
      <c r="F63" s="11" t="n">
        <v>46086</v>
      </c>
      <c r="G63" s="10" t="s">
        <v>18</v>
      </c>
      <c r="H63" s="10" t="s">
        <v>34</v>
      </c>
      <c r="I63" s="10" t="s">
        <v>39</v>
      </c>
      <c r="J63" s="10" t="s">
        <v>58</v>
      </c>
      <c r="K63" s="12" t="n">
        <f aca="false">IF(AND(ISNUMBER(C63),ISNUMBER(D63)),D63-C63,"")</f>
        <v>19</v>
      </c>
      <c r="L63" s="12" t="n">
        <f aca="false">IF(AND(ISNUMBER(D63),ISNUMBER(E63)),E63-D63,"")</f>
        <v>8</v>
      </c>
      <c r="M63" s="12" t="n">
        <f aca="false">IF(AND(ISNUMBER(E63),ISNUMBER(F63)),F63-E63,"")</f>
        <v>26</v>
      </c>
      <c r="N63" s="12" t="n">
        <f aca="false">IF(AND(ISNUMBER(C63),ISNUMBER(F63)),F63-C63,"")</f>
        <v>53</v>
      </c>
    </row>
    <row r="64" customFormat="false" ht="15" hidden="false" customHeight="true" outlineLevel="0" collapsed="false">
      <c r="A64" s="10" t="n">
        <v>63</v>
      </c>
      <c r="B64" s="10" t="n">
        <v>63</v>
      </c>
      <c r="C64" s="11" t="n">
        <v>45945</v>
      </c>
      <c r="D64" s="11" t="n">
        <v>45971</v>
      </c>
      <c r="E64" s="11" t="n">
        <v>45991</v>
      </c>
      <c r="F64" s="11" t="n">
        <v>46090</v>
      </c>
      <c r="G64" s="10" t="s">
        <v>33</v>
      </c>
      <c r="H64" s="10" t="s">
        <v>29</v>
      </c>
      <c r="I64" s="10" t="s">
        <v>36</v>
      </c>
      <c r="J64" s="10" t="s">
        <v>57</v>
      </c>
      <c r="K64" s="12" t="n">
        <f aca="false">IF(AND(ISNUMBER(C64),ISNUMBER(D64)),D64-C64,"")</f>
        <v>26</v>
      </c>
      <c r="L64" s="12" t="n">
        <f aca="false">IF(AND(ISNUMBER(D64),ISNUMBER(E64)),E64-D64,"")</f>
        <v>20</v>
      </c>
      <c r="M64" s="12" t="n">
        <f aca="false">IF(AND(ISNUMBER(E64),ISNUMBER(F64)),F64-E64,"")</f>
        <v>99</v>
      </c>
      <c r="N64" s="12" t="n">
        <f aca="false">IF(AND(ISNUMBER(C64),ISNUMBER(F64)),F64-C64,"")</f>
        <v>145</v>
      </c>
    </row>
    <row r="65" customFormat="false" ht="15" hidden="false" customHeight="true" outlineLevel="0" collapsed="false">
      <c r="A65" s="10" t="n">
        <v>64</v>
      </c>
      <c r="B65" s="10" t="n">
        <v>70</v>
      </c>
      <c r="C65" s="11" t="n">
        <v>45967</v>
      </c>
      <c r="D65" s="11" t="n">
        <v>46003</v>
      </c>
      <c r="E65" s="11" t="n">
        <v>46012</v>
      </c>
      <c r="F65" s="11" t="n">
        <v>46093</v>
      </c>
      <c r="G65" s="10" t="s">
        <v>18</v>
      </c>
      <c r="H65" s="10" t="s">
        <v>19</v>
      </c>
      <c r="I65" s="10" t="s">
        <v>36</v>
      </c>
      <c r="J65" s="10" t="s">
        <v>51</v>
      </c>
      <c r="K65" s="12" t="n">
        <f aca="false">IF(AND(ISNUMBER(C65),ISNUMBER(D65)),D65-C65,"")</f>
        <v>36</v>
      </c>
      <c r="L65" s="12" t="n">
        <f aca="false">IF(AND(ISNUMBER(D65),ISNUMBER(E65)),E65-D65,"")</f>
        <v>9</v>
      </c>
      <c r="M65" s="12" t="n">
        <f aca="false">IF(AND(ISNUMBER(E65),ISNUMBER(F65)),F65-E65,"")</f>
        <v>81</v>
      </c>
      <c r="N65" s="12" t="n">
        <f aca="false">IF(AND(ISNUMBER(C65),ISNUMBER(F65)),F65-C65,"")</f>
        <v>126</v>
      </c>
    </row>
    <row r="66" customFormat="false" ht="15" hidden="false" customHeight="true" outlineLevel="0" collapsed="false">
      <c r="A66" s="10" t="n">
        <v>65</v>
      </c>
      <c r="B66" s="10" t="n">
        <v>33</v>
      </c>
      <c r="C66" s="11" t="n">
        <v>46046</v>
      </c>
      <c r="D66" s="11" t="n">
        <v>46062</v>
      </c>
      <c r="E66" s="11" t="n">
        <v>46077</v>
      </c>
      <c r="F66" s="11" t="n">
        <v>46103</v>
      </c>
      <c r="G66" s="10" t="s">
        <v>18</v>
      </c>
      <c r="H66" s="10" t="s">
        <v>29</v>
      </c>
      <c r="I66" s="10" t="s">
        <v>32</v>
      </c>
      <c r="J66" s="10" t="s">
        <v>44</v>
      </c>
      <c r="K66" s="12" t="n">
        <f aca="false">IF(AND(ISNUMBER(C66),ISNUMBER(D66)),D66-C66,"")</f>
        <v>16</v>
      </c>
      <c r="L66" s="12" t="n">
        <f aca="false">IF(AND(ISNUMBER(D66),ISNUMBER(E66)),E66-D66,"")</f>
        <v>15</v>
      </c>
      <c r="M66" s="12" t="n">
        <f aca="false">IF(AND(ISNUMBER(E66),ISNUMBER(F66)),F66-E66,"")</f>
        <v>26</v>
      </c>
      <c r="N66" s="12" t="n">
        <f aca="false">IF(AND(ISNUMBER(C66),ISNUMBER(F66)),F66-C66,"")</f>
        <v>57</v>
      </c>
    </row>
    <row r="67" customFormat="false" ht="15" hidden="false" customHeight="true" outlineLevel="0" collapsed="false">
      <c r="A67" s="10" t="n">
        <v>66</v>
      </c>
      <c r="B67" s="10" t="n">
        <v>59</v>
      </c>
      <c r="C67" s="11" t="n">
        <v>45974</v>
      </c>
      <c r="D67" s="11" t="n">
        <v>46033</v>
      </c>
      <c r="E67" s="11" t="n">
        <v>46044</v>
      </c>
      <c r="F67" s="11" t="n">
        <v>46104</v>
      </c>
      <c r="G67" s="10" t="s">
        <v>18</v>
      </c>
      <c r="H67" s="10" t="s">
        <v>19</v>
      </c>
      <c r="I67" s="10" t="s">
        <v>20</v>
      </c>
      <c r="J67" s="10" t="s">
        <v>40</v>
      </c>
      <c r="K67" s="12" t="n">
        <f aca="false">IF(AND(ISNUMBER(C67),ISNUMBER(D67)),D67-C67,"")</f>
        <v>59</v>
      </c>
      <c r="L67" s="12" t="n">
        <f aca="false">IF(AND(ISNUMBER(D67),ISNUMBER(E67)),E67-D67,"")</f>
        <v>11</v>
      </c>
      <c r="M67" s="12" t="n">
        <f aca="false">IF(AND(ISNUMBER(E67),ISNUMBER(F67)),F67-E67,"")</f>
        <v>60</v>
      </c>
      <c r="N67" s="12" t="n">
        <f aca="false">IF(AND(ISNUMBER(C67),ISNUMBER(F67)),F67-C67,"")</f>
        <v>130</v>
      </c>
    </row>
    <row r="68" customFormat="false" ht="15" hidden="false" customHeight="true" outlineLevel="0" collapsed="false">
      <c r="A68" s="10" t="n">
        <v>67</v>
      </c>
      <c r="B68" s="10" t="n">
        <v>75</v>
      </c>
      <c r="C68" s="11" t="n">
        <v>45994</v>
      </c>
      <c r="D68" s="11" t="n">
        <v>46024</v>
      </c>
      <c r="E68" s="11" t="n">
        <v>46050</v>
      </c>
      <c r="F68" s="11" t="n">
        <v>46110</v>
      </c>
      <c r="G68" s="10" t="s">
        <v>18</v>
      </c>
      <c r="H68" s="10" t="s">
        <v>34</v>
      </c>
      <c r="I68" s="10" t="s">
        <v>38</v>
      </c>
      <c r="J68" s="10" t="s">
        <v>49</v>
      </c>
      <c r="K68" s="12" t="n">
        <f aca="false">IF(AND(ISNUMBER(C68),ISNUMBER(D68)),D68-C68,"")</f>
        <v>30</v>
      </c>
      <c r="L68" s="12" t="n">
        <f aca="false">IF(AND(ISNUMBER(D68),ISNUMBER(E68)),E68-D68,"")</f>
        <v>26</v>
      </c>
      <c r="M68" s="12" t="n">
        <f aca="false">IF(AND(ISNUMBER(E68),ISNUMBER(F68)),F68-E68,"")</f>
        <v>60</v>
      </c>
      <c r="N68" s="12" t="n">
        <f aca="false">IF(AND(ISNUMBER(C68),ISNUMBER(F68)),F68-C68,"")</f>
        <v>116</v>
      </c>
    </row>
    <row r="69" customFormat="false" ht="15" hidden="false" customHeight="true" outlineLevel="0" collapsed="false">
      <c r="A69" s="10" t="n">
        <v>68</v>
      </c>
      <c r="B69" s="10" t="n">
        <v>78</v>
      </c>
      <c r="C69" s="11" t="n">
        <v>45921</v>
      </c>
      <c r="D69" s="11"/>
      <c r="E69" s="11" t="n">
        <v>45998</v>
      </c>
      <c r="F69" s="11" t="n">
        <v>46111</v>
      </c>
      <c r="G69" s="10" t="s">
        <v>33</v>
      </c>
      <c r="H69" s="10" t="s">
        <v>19</v>
      </c>
      <c r="I69" s="10" t="s">
        <v>38</v>
      </c>
      <c r="J69" s="10" t="s">
        <v>41</v>
      </c>
      <c r="K69" s="12" t="str">
        <f aca="false">IF(AND(ISNUMBER(C69),ISNUMBER(D69)),D69-C69,"")</f>
        <v/>
      </c>
      <c r="L69" s="12" t="str">
        <f aca="false">IF(AND(ISNUMBER(D69),ISNUMBER(E69)),E69-D69,"")</f>
        <v/>
      </c>
      <c r="M69" s="12" t="n">
        <f aca="false">IF(AND(ISNUMBER(E69),ISNUMBER(F69)),F69-E69,"")</f>
        <v>113</v>
      </c>
      <c r="N69" s="12" t="n">
        <f aca="false">IF(AND(ISNUMBER(C69),ISNUMBER(F69)),F69-C69,"")</f>
        <v>190</v>
      </c>
    </row>
    <row r="70" customFormat="false" ht="15" hidden="false" customHeight="true" outlineLevel="0" collapsed="false">
      <c r="A70" s="10" t="n">
        <v>69</v>
      </c>
      <c r="B70" s="10" t="n">
        <v>81</v>
      </c>
      <c r="C70" s="11" t="n">
        <v>45994</v>
      </c>
      <c r="D70" s="11" t="n">
        <v>46034</v>
      </c>
      <c r="E70" s="11" t="n">
        <v>46074</v>
      </c>
      <c r="F70" s="11" t="n">
        <v>46116</v>
      </c>
      <c r="G70" s="10" t="s">
        <v>33</v>
      </c>
      <c r="H70" s="10" t="s">
        <v>29</v>
      </c>
      <c r="I70" s="10" t="s">
        <v>35</v>
      </c>
      <c r="J70" s="10" t="s">
        <v>63</v>
      </c>
      <c r="K70" s="12" t="n">
        <f aca="false">IF(AND(ISNUMBER(C70),ISNUMBER(D70)),D70-C70,"")</f>
        <v>40</v>
      </c>
      <c r="L70" s="12" t="n">
        <f aca="false">IF(AND(ISNUMBER(D70),ISNUMBER(E70)),E70-D70,"")</f>
        <v>40</v>
      </c>
      <c r="M70" s="12" t="n">
        <f aca="false">IF(AND(ISNUMBER(E70),ISNUMBER(F70)),F70-E70,"")</f>
        <v>42</v>
      </c>
      <c r="N70" s="12" t="n">
        <f aca="false">IF(AND(ISNUMBER(C70),ISNUMBER(F70)),F70-C70,"")</f>
        <v>122</v>
      </c>
    </row>
    <row r="71" customFormat="false" ht="15" hidden="false" customHeight="true" outlineLevel="0" collapsed="false">
      <c r="A71" s="10" t="n">
        <v>70</v>
      </c>
      <c r="B71" s="10" t="n">
        <v>70</v>
      </c>
      <c r="C71" s="11" t="n">
        <v>46003</v>
      </c>
      <c r="D71" s="11" t="n">
        <v>46038</v>
      </c>
      <c r="E71" s="11" t="n">
        <v>46057</v>
      </c>
      <c r="F71" s="11" t="n">
        <v>46117</v>
      </c>
      <c r="G71" s="10" t="s">
        <v>18</v>
      </c>
      <c r="H71" s="10" t="s">
        <v>19</v>
      </c>
      <c r="I71" s="10" t="s">
        <v>38</v>
      </c>
      <c r="J71" s="10" t="s">
        <v>45</v>
      </c>
      <c r="K71" s="12" t="n">
        <f aca="false">IF(AND(ISNUMBER(C71),ISNUMBER(D71)),D71-C71,"")</f>
        <v>35</v>
      </c>
      <c r="L71" s="12" t="n">
        <f aca="false">IF(AND(ISNUMBER(D71),ISNUMBER(E71)),E71-D71,"")</f>
        <v>19</v>
      </c>
      <c r="M71" s="12" t="n">
        <f aca="false">IF(AND(ISNUMBER(E71),ISNUMBER(F71)),F71-E71,"")</f>
        <v>60</v>
      </c>
      <c r="N71" s="12" t="n">
        <f aca="false">IF(AND(ISNUMBER(C71),ISNUMBER(F71)),F71-C71,"")</f>
        <v>114</v>
      </c>
    </row>
    <row r="72" customFormat="false" ht="15" hidden="false" customHeight="true" outlineLevel="0" collapsed="false">
      <c r="A72" s="10" t="n">
        <v>71</v>
      </c>
      <c r="B72" s="10" t="n">
        <v>45</v>
      </c>
      <c r="C72" s="11" t="n">
        <v>45976</v>
      </c>
      <c r="D72" s="11" t="n">
        <v>46001</v>
      </c>
      <c r="E72" s="11" t="n">
        <v>46051</v>
      </c>
      <c r="F72" s="11" t="n">
        <v>46118</v>
      </c>
      <c r="G72" s="10" t="s">
        <v>18</v>
      </c>
      <c r="H72" s="10" t="s">
        <v>19</v>
      </c>
      <c r="I72" s="10" t="s">
        <v>47</v>
      </c>
      <c r="J72" s="10" t="s">
        <v>48</v>
      </c>
      <c r="K72" s="12" t="n">
        <f aca="false">IF(AND(ISNUMBER(C72),ISNUMBER(D72)),D72-C72,"")</f>
        <v>25</v>
      </c>
      <c r="L72" s="12" t="n">
        <f aca="false">IF(AND(ISNUMBER(D72),ISNUMBER(E72)),E72-D72,"")</f>
        <v>50</v>
      </c>
      <c r="M72" s="12" t="n">
        <f aca="false">IF(AND(ISNUMBER(E72),ISNUMBER(F72)),F72-E72,"")</f>
        <v>67</v>
      </c>
      <c r="N72" s="12" t="n">
        <f aca="false">IF(AND(ISNUMBER(C72),ISNUMBER(F72)),F72-C72,"")</f>
        <v>142</v>
      </c>
    </row>
    <row r="73" customFormat="false" ht="15" hidden="false" customHeight="true" outlineLevel="0" collapsed="false">
      <c r="A73" s="10" t="n">
        <v>72</v>
      </c>
      <c r="B73" s="10" t="n">
        <v>56</v>
      </c>
      <c r="C73" s="11" t="n">
        <v>46009</v>
      </c>
      <c r="D73" s="11" t="n">
        <v>46024</v>
      </c>
      <c r="E73" s="11" t="n">
        <v>46052</v>
      </c>
      <c r="F73" s="11" t="n">
        <v>46126</v>
      </c>
      <c r="G73" s="10" t="s">
        <v>18</v>
      </c>
      <c r="H73" s="10" t="s">
        <v>29</v>
      </c>
      <c r="I73" s="10" t="s">
        <v>47</v>
      </c>
      <c r="J73" s="10" t="s">
        <v>59</v>
      </c>
      <c r="K73" s="12" t="n">
        <f aca="false">IF(AND(ISNUMBER(C73),ISNUMBER(D73)),D73-C73,"")</f>
        <v>15</v>
      </c>
      <c r="L73" s="12" t="n">
        <f aca="false">IF(AND(ISNUMBER(D73),ISNUMBER(E73)),E73-D73,"")</f>
        <v>28</v>
      </c>
      <c r="M73" s="12" t="n">
        <f aca="false">IF(AND(ISNUMBER(E73),ISNUMBER(F73)),F73-E73,"")</f>
        <v>74</v>
      </c>
      <c r="N73" s="12" t="n">
        <f aca="false">IF(AND(ISNUMBER(C73),ISNUMBER(F73)),F73-C73,"")</f>
        <v>117</v>
      </c>
    </row>
    <row r="74" customFormat="false" ht="15" hidden="false" customHeight="true" outlineLevel="0" collapsed="false">
      <c r="A74" s="10" t="n">
        <v>73</v>
      </c>
      <c r="B74" s="10" t="n">
        <v>49</v>
      </c>
      <c r="C74" s="11" t="n">
        <v>46001</v>
      </c>
      <c r="D74" s="11" t="n">
        <v>46029</v>
      </c>
      <c r="E74" s="11" t="n">
        <v>46044</v>
      </c>
      <c r="F74" s="11" t="n">
        <v>46131</v>
      </c>
      <c r="G74" s="10" t="s">
        <v>18</v>
      </c>
      <c r="H74" s="10" t="s">
        <v>19</v>
      </c>
      <c r="I74" s="10" t="s">
        <v>38</v>
      </c>
      <c r="J74" s="10"/>
      <c r="K74" s="12" t="n">
        <f aca="false">IF(AND(ISNUMBER(C74),ISNUMBER(D74)),D74-C74,"")</f>
        <v>28</v>
      </c>
      <c r="L74" s="12" t="n">
        <f aca="false">IF(AND(ISNUMBER(D74),ISNUMBER(E74)),E74-D74,"")</f>
        <v>15</v>
      </c>
      <c r="M74" s="12" t="n">
        <f aca="false">IF(AND(ISNUMBER(E74),ISNUMBER(F74)),F74-E74,"")</f>
        <v>87</v>
      </c>
      <c r="N74" s="12" t="n">
        <f aca="false">IF(AND(ISNUMBER(C74),ISNUMBER(F74)),F74-C74,"")</f>
        <v>130</v>
      </c>
    </row>
    <row r="75" customFormat="false" ht="15" hidden="false" customHeight="true" outlineLevel="0" collapsed="false">
      <c r="A75" s="10" t="n">
        <v>74</v>
      </c>
      <c r="B75" s="10" t="n">
        <v>55</v>
      </c>
      <c r="C75" s="11" t="n">
        <v>46010</v>
      </c>
      <c r="D75" s="11" t="n">
        <v>46049</v>
      </c>
      <c r="E75" s="11" t="n">
        <v>46074</v>
      </c>
      <c r="F75" s="11" t="n">
        <v>46137</v>
      </c>
      <c r="G75" s="10" t="s">
        <v>18</v>
      </c>
      <c r="H75" s="10" t="s">
        <v>29</v>
      </c>
      <c r="I75" s="10" t="s">
        <v>47</v>
      </c>
      <c r="J75" s="10" t="s">
        <v>59</v>
      </c>
      <c r="K75" s="12" t="n">
        <f aca="false">IF(AND(ISNUMBER(C75),ISNUMBER(D75)),D75-C75,"")</f>
        <v>39</v>
      </c>
      <c r="L75" s="12" t="n">
        <f aca="false">IF(AND(ISNUMBER(D75),ISNUMBER(E75)),E75-D75,"")</f>
        <v>25</v>
      </c>
      <c r="M75" s="12" t="n">
        <f aca="false">IF(AND(ISNUMBER(E75),ISNUMBER(F75)),F75-E75,"")</f>
        <v>63</v>
      </c>
      <c r="N75" s="12" t="n">
        <f aca="false">IF(AND(ISNUMBER(C75),ISNUMBER(F75)),F75-C75,"")</f>
        <v>127</v>
      </c>
    </row>
    <row r="76" customFormat="false" ht="15" hidden="false" customHeight="true" outlineLevel="0" collapsed="false">
      <c r="A76" s="10" t="n">
        <v>75</v>
      </c>
      <c r="B76" s="10" t="n">
        <v>78</v>
      </c>
      <c r="C76" s="11" t="n">
        <v>45985</v>
      </c>
      <c r="D76" s="11" t="n">
        <v>46011</v>
      </c>
      <c r="E76" s="11" t="n">
        <v>46019</v>
      </c>
      <c r="F76" s="11" t="n">
        <v>46141</v>
      </c>
      <c r="G76" s="10" t="s">
        <v>18</v>
      </c>
      <c r="H76" s="10" t="s">
        <v>29</v>
      </c>
      <c r="I76" s="10" t="s">
        <v>38</v>
      </c>
      <c r="J76" s="10" t="s">
        <v>45</v>
      </c>
      <c r="K76" s="12" t="n">
        <f aca="false">IF(AND(ISNUMBER(C76),ISNUMBER(D76)),D76-C76,"")</f>
        <v>26</v>
      </c>
      <c r="L76" s="12" t="n">
        <f aca="false">IF(AND(ISNUMBER(D76),ISNUMBER(E76)),E76-D76,"")</f>
        <v>8</v>
      </c>
      <c r="M76" s="12" t="n">
        <f aca="false">IF(AND(ISNUMBER(E76),ISNUMBER(F76)),F76-E76,"")</f>
        <v>122</v>
      </c>
      <c r="N76" s="12" t="n">
        <f aca="false">IF(AND(ISNUMBER(C76),ISNUMBER(F76)),F76-C76,"")</f>
        <v>156</v>
      </c>
    </row>
    <row r="77" customFormat="false" ht="15" hidden="false" customHeight="true" outlineLevel="0" collapsed="false">
      <c r="A77" s="10" t="n">
        <v>76</v>
      </c>
      <c r="B77" s="10" t="n">
        <v>52</v>
      </c>
      <c r="C77" s="11" t="n">
        <v>45867</v>
      </c>
      <c r="D77" s="11" t="n">
        <v>45944</v>
      </c>
      <c r="E77" s="11" t="n">
        <v>45956</v>
      </c>
      <c r="F77" s="11" t="n">
        <v>46144</v>
      </c>
      <c r="G77" s="10" t="s">
        <v>18</v>
      </c>
      <c r="H77" s="10" t="s">
        <v>29</v>
      </c>
      <c r="I77" s="10" t="s">
        <v>20</v>
      </c>
      <c r="J77" s="10" t="s">
        <v>46</v>
      </c>
      <c r="K77" s="12" t="n">
        <f aca="false">IF(AND(ISNUMBER(C77),ISNUMBER(D77)),D77-C77,"")</f>
        <v>77</v>
      </c>
      <c r="L77" s="12" t="n">
        <f aca="false">IF(AND(ISNUMBER(D77),ISNUMBER(E77)),E77-D77,"")</f>
        <v>12</v>
      </c>
      <c r="M77" s="12" t="n">
        <f aca="false">IF(AND(ISNUMBER(E77),ISNUMBER(F77)),F77-E77,"")</f>
        <v>188</v>
      </c>
      <c r="N77" s="12" t="n">
        <f aca="false">IF(AND(ISNUMBER(C77),ISNUMBER(F77)),F77-C77,"")</f>
        <v>277</v>
      </c>
    </row>
    <row r="78" customFormat="false" ht="15" hidden="false" customHeight="true" outlineLevel="0" collapsed="false">
      <c r="A78" s="10" t="n">
        <v>77</v>
      </c>
      <c r="B78" s="10" t="n">
        <v>44</v>
      </c>
      <c r="C78" s="11" t="n">
        <v>46005</v>
      </c>
      <c r="D78" s="11" t="n">
        <v>46048</v>
      </c>
      <c r="E78" s="11" t="n">
        <v>46061</v>
      </c>
      <c r="F78" s="11" t="n">
        <v>46146</v>
      </c>
      <c r="G78" s="10" t="s">
        <v>18</v>
      </c>
      <c r="H78" s="10" t="s">
        <v>29</v>
      </c>
      <c r="I78" s="10" t="s">
        <v>38</v>
      </c>
      <c r="J78" s="10"/>
      <c r="K78" s="12" t="n">
        <f aca="false">IF(AND(ISNUMBER(C78),ISNUMBER(D78)),D78-C78,"")</f>
        <v>43</v>
      </c>
      <c r="L78" s="12" t="n">
        <f aca="false">IF(AND(ISNUMBER(D78),ISNUMBER(E78)),E78-D78,"")</f>
        <v>13</v>
      </c>
      <c r="M78" s="12" t="n">
        <f aca="false">IF(AND(ISNUMBER(E78),ISNUMBER(F78)),F78-E78,"")</f>
        <v>85</v>
      </c>
      <c r="N78" s="12" t="n">
        <f aca="false">IF(AND(ISNUMBER(C78),ISNUMBER(F78)),F78-C78,"")</f>
        <v>141</v>
      </c>
    </row>
    <row r="79" customFormat="false" ht="15" hidden="false" customHeight="true" outlineLevel="0" collapsed="false">
      <c r="A79" s="10" t="n">
        <v>78</v>
      </c>
      <c r="B79" s="10" t="n">
        <v>60</v>
      </c>
      <c r="C79" s="11" t="n">
        <v>46026</v>
      </c>
      <c r="D79" s="11" t="n">
        <v>46070</v>
      </c>
      <c r="E79" s="11" t="n">
        <v>46096</v>
      </c>
      <c r="F79" s="11" t="n">
        <v>46149</v>
      </c>
      <c r="G79" s="10" t="s">
        <v>33</v>
      </c>
      <c r="H79" s="10" t="s">
        <v>29</v>
      </c>
      <c r="I79" s="10" t="s">
        <v>47</v>
      </c>
      <c r="J79" s="10" t="s">
        <v>48</v>
      </c>
      <c r="K79" s="12" t="n">
        <f aca="false">IF(AND(ISNUMBER(C79),ISNUMBER(D79)),D79-C79,"")</f>
        <v>44</v>
      </c>
      <c r="L79" s="12" t="n">
        <f aca="false">IF(AND(ISNUMBER(D79),ISNUMBER(E79)),E79-D79,"")</f>
        <v>26</v>
      </c>
      <c r="M79" s="12" t="n">
        <f aca="false">IF(AND(ISNUMBER(E79),ISNUMBER(F79)),F79-E79,"")</f>
        <v>53</v>
      </c>
      <c r="N79" s="12" t="n">
        <f aca="false">IF(AND(ISNUMBER(C79),ISNUMBER(F79)),F79-C79,"")</f>
        <v>123</v>
      </c>
    </row>
    <row r="80" customFormat="false" ht="15" hidden="false" customHeight="true" outlineLevel="0" collapsed="false">
      <c r="A80" s="10" t="n">
        <v>79</v>
      </c>
      <c r="B80" s="10" t="n">
        <v>33</v>
      </c>
      <c r="C80" s="11" t="n">
        <v>45944</v>
      </c>
      <c r="D80" s="11" t="n">
        <v>46034</v>
      </c>
      <c r="E80" s="11" t="n">
        <v>46051</v>
      </c>
      <c r="F80" s="11" t="n">
        <v>46156</v>
      </c>
      <c r="G80" s="10" t="s">
        <v>18</v>
      </c>
      <c r="H80" s="10" t="s">
        <v>34</v>
      </c>
      <c r="I80" s="10" t="s">
        <v>20</v>
      </c>
      <c r="J80" s="10" t="s">
        <v>46</v>
      </c>
      <c r="K80" s="12" t="n">
        <f aca="false">IF(AND(ISNUMBER(C80),ISNUMBER(D80)),D80-C80,"")</f>
        <v>90</v>
      </c>
      <c r="L80" s="12" t="n">
        <f aca="false">IF(AND(ISNUMBER(D80),ISNUMBER(E80)),E80-D80,"")</f>
        <v>17</v>
      </c>
      <c r="M80" s="12" t="n">
        <f aca="false">IF(AND(ISNUMBER(E80),ISNUMBER(F80)),F80-E80,"")</f>
        <v>105</v>
      </c>
      <c r="N80" s="12" t="n">
        <f aca="false">IF(AND(ISNUMBER(C80),ISNUMBER(F80)),F80-C80,"")</f>
        <v>212</v>
      </c>
    </row>
    <row r="81" customFormat="false" ht="15" hidden="false" customHeight="true" outlineLevel="0" collapsed="false">
      <c r="A81" s="10" t="n">
        <v>80</v>
      </c>
      <c r="B81" s="10" t="n">
        <v>53</v>
      </c>
      <c r="C81" s="11" t="n">
        <v>46027</v>
      </c>
      <c r="D81" s="11" t="n">
        <v>46060</v>
      </c>
      <c r="E81" s="11" t="n">
        <v>46084</v>
      </c>
      <c r="F81" s="11" t="n">
        <v>46160</v>
      </c>
      <c r="G81" s="10" t="s">
        <v>18</v>
      </c>
      <c r="H81" s="10" t="s">
        <v>29</v>
      </c>
      <c r="I81" s="10" t="s">
        <v>32</v>
      </c>
      <c r="J81" s="10" t="s">
        <v>54</v>
      </c>
      <c r="K81" s="12" t="n">
        <f aca="false">IF(AND(ISNUMBER(C81),ISNUMBER(D81)),D81-C81,"")</f>
        <v>33</v>
      </c>
      <c r="L81" s="12" t="n">
        <f aca="false">IF(AND(ISNUMBER(D81),ISNUMBER(E81)),E81-D81,"")</f>
        <v>24</v>
      </c>
      <c r="M81" s="12" t="n">
        <f aca="false">IF(AND(ISNUMBER(E81),ISNUMBER(F81)),F81-E81,"")</f>
        <v>76</v>
      </c>
      <c r="N81" s="12" t="n">
        <f aca="false">IF(AND(ISNUMBER(C81),ISNUMBER(F81)),F81-C81,"")</f>
        <v>133</v>
      </c>
    </row>
    <row r="82" customFormat="false" ht="15" hidden="false" customHeight="true" outlineLevel="0" collapsed="false">
      <c r="A82" s="10" t="n">
        <v>81</v>
      </c>
      <c r="B82" s="10" t="n">
        <v>59</v>
      </c>
      <c r="C82" s="11" t="n">
        <v>46029</v>
      </c>
      <c r="D82" s="11" t="n">
        <v>46080</v>
      </c>
      <c r="E82" s="11" t="n">
        <v>46085</v>
      </c>
      <c r="F82" s="11" t="n">
        <v>46162</v>
      </c>
      <c r="G82" s="10" t="s">
        <v>18</v>
      </c>
      <c r="H82" s="10" t="s">
        <v>19</v>
      </c>
      <c r="I82" s="10" t="s">
        <v>38</v>
      </c>
      <c r="J82" s="10" t="s">
        <v>45</v>
      </c>
      <c r="K82" s="12" t="n">
        <f aca="false">IF(AND(ISNUMBER(C82),ISNUMBER(D82)),D82-C82,"")</f>
        <v>51</v>
      </c>
      <c r="L82" s="12" t="n">
        <f aca="false">IF(AND(ISNUMBER(D82),ISNUMBER(E82)),E82-D82,"")</f>
        <v>5</v>
      </c>
      <c r="M82" s="12" t="n">
        <f aca="false">IF(AND(ISNUMBER(E82),ISNUMBER(F82)),F82-E82,"")</f>
        <v>77</v>
      </c>
      <c r="N82" s="12" t="n">
        <f aca="false">IF(AND(ISNUMBER(C82),ISNUMBER(F82)),F82-C82,"")</f>
        <v>133</v>
      </c>
    </row>
    <row r="83" customFormat="false" ht="15" hidden="false" customHeight="true" outlineLevel="0" collapsed="false">
      <c r="A83" s="10" t="n">
        <v>82</v>
      </c>
      <c r="B83" s="10" t="n">
        <v>48</v>
      </c>
      <c r="C83" s="11" t="n">
        <v>45996</v>
      </c>
      <c r="D83" s="11" t="n">
        <v>46017</v>
      </c>
      <c r="E83" s="11" t="n">
        <v>46043</v>
      </c>
      <c r="F83" s="11" t="n">
        <v>46168</v>
      </c>
      <c r="G83" s="10" t="s">
        <v>18</v>
      </c>
      <c r="H83" s="10" t="s">
        <v>29</v>
      </c>
      <c r="I83" s="10" t="s">
        <v>52</v>
      </c>
      <c r="J83" s="10" t="s">
        <v>55</v>
      </c>
      <c r="K83" s="12" t="n">
        <f aca="false">IF(AND(ISNUMBER(C83),ISNUMBER(D83)),D83-C83,"")</f>
        <v>21</v>
      </c>
      <c r="L83" s="12" t="n">
        <f aca="false">IF(AND(ISNUMBER(D83),ISNUMBER(E83)),E83-D83,"")</f>
        <v>26</v>
      </c>
      <c r="M83" s="12" t="n">
        <f aca="false">IF(AND(ISNUMBER(E83),ISNUMBER(F83)),F83-E83,"")</f>
        <v>125</v>
      </c>
      <c r="N83" s="12" t="n">
        <f aca="false">IF(AND(ISNUMBER(C83),ISNUMBER(F83)),F83-C83,"")</f>
        <v>172</v>
      </c>
    </row>
    <row r="84" customFormat="false" ht="15" hidden="false" customHeight="true" outlineLevel="0" collapsed="false">
      <c r="A84" s="10" t="n">
        <v>83</v>
      </c>
      <c r="B84" s="10" t="n">
        <v>64</v>
      </c>
      <c r="C84" s="11" t="n">
        <v>46090</v>
      </c>
      <c r="D84" s="11" t="n">
        <v>46112</v>
      </c>
      <c r="E84" s="11" t="n">
        <v>46123</v>
      </c>
      <c r="F84" s="11" t="n">
        <v>46172</v>
      </c>
      <c r="G84" s="10" t="s">
        <v>18</v>
      </c>
      <c r="H84" s="10" t="s">
        <v>29</v>
      </c>
      <c r="I84" s="10" t="s">
        <v>32</v>
      </c>
      <c r="J84" s="10" t="s">
        <v>44</v>
      </c>
      <c r="K84" s="12" t="n">
        <f aca="false">IF(AND(ISNUMBER(C84),ISNUMBER(D84)),D84-C84,"")</f>
        <v>22</v>
      </c>
      <c r="L84" s="12" t="n">
        <f aca="false">IF(AND(ISNUMBER(D84),ISNUMBER(E84)),E84-D84,"")</f>
        <v>11</v>
      </c>
      <c r="M84" s="12" t="n">
        <f aca="false">IF(AND(ISNUMBER(E84),ISNUMBER(F84)),F84-E84,"")</f>
        <v>49</v>
      </c>
      <c r="N84" s="12" t="n">
        <f aca="false">IF(AND(ISNUMBER(C84),ISNUMBER(F84)),F84-C84,"")</f>
        <v>82</v>
      </c>
    </row>
    <row r="85" customFormat="false" ht="15" hidden="false" customHeight="true" outlineLevel="0" collapsed="false">
      <c r="A85" s="10" t="n">
        <v>84</v>
      </c>
      <c r="B85" s="10" t="n">
        <v>67</v>
      </c>
      <c r="C85" s="11" t="n">
        <v>46022</v>
      </c>
      <c r="D85" s="11" t="n">
        <v>46088</v>
      </c>
      <c r="E85" s="11" t="n">
        <v>46100</v>
      </c>
      <c r="F85" s="11" t="n">
        <v>46173</v>
      </c>
      <c r="G85" s="10" t="s">
        <v>18</v>
      </c>
      <c r="H85" s="10" t="s">
        <v>29</v>
      </c>
      <c r="I85" s="10" t="s">
        <v>38</v>
      </c>
      <c r="J85" s="10" t="s">
        <v>41</v>
      </c>
      <c r="K85" s="12" t="n">
        <f aca="false">IF(AND(ISNUMBER(C85),ISNUMBER(D85)),D85-C85,"")</f>
        <v>66</v>
      </c>
      <c r="L85" s="12" t="n">
        <f aca="false">IF(AND(ISNUMBER(D85),ISNUMBER(E85)),E85-D85,"")</f>
        <v>12</v>
      </c>
      <c r="M85" s="12" t="n">
        <f aca="false">IF(AND(ISNUMBER(E85),ISNUMBER(F85)),F85-E85,"")</f>
        <v>73</v>
      </c>
      <c r="N85" s="12" t="n">
        <f aca="false">IF(AND(ISNUMBER(C85),ISNUMBER(F85)),F85-C85,"")</f>
        <v>151</v>
      </c>
    </row>
    <row r="86" customFormat="false" ht="15" hidden="false" customHeight="true" outlineLevel="0" collapsed="false">
      <c r="A86" s="10"/>
      <c r="B86" s="10"/>
      <c r="C86" s="11"/>
      <c r="D86" s="11"/>
      <c r="E86" s="11"/>
      <c r="F86" s="11"/>
      <c r="G86" s="10"/>
      <c r="H86" s="10"/>
      <c r="I86" s="10"/>
      <c r="J86" s="10"/>
      <c r="K86" s="12" t="str">
        <f aca="false">IF(AND(ISNUMBER(C86),ISNUMBER(D86)),D86-C86,"")</f>
        <v/>
      </c>
      <c r="L86" s="12" t="str">
        <f aca="false">IF(AND(ISNUMBER(D86),ISNUMBER(E86)),E86-D86,"")</f>
        <v/>
      </c>
      <c r="M86" s="12" t="str">
        <f aca="false">IF(AND(ISNUMBER(E86),ISNUMBER(F86)),F86-E86,"")</f>
        <v/>
      </c>
      <c r="N86" s="12" t="str">
        <f aca="false">IF(AND(ISNUMBER(C86),ISNUMBER(F86)),F86-C86,"")</f>
        <v/>
      </c>
    </row>
    <row r="87" customFormat="false" ht="15" hidden="false" customHeight="true" outlineLevel="0" collapsed="false">
      <c r="A87" s="10"/>
      <c r="B87" s="10"/>
      <c r="C87" s="11"/>
      <c r="D87" s="11"/>
      <c r="E87" s="11"/>
      <c r="F87" s="11"/>
      <c r="G87" s="10"/>
      <c r="H87" s="10"/>
      <c r="I87" s="10"/>
      <c r="J87" s="10"/>
      <c r="K87" s="12" t="str">
        <f aca="false">IF(AND(ISNUMBER(C87),ISNUMBER(D87)),D87-C87,"")</f>
        <v/>
      </c>
      <c r="L87" s="12" t="str">
        <f aca="false">IF(AND(ISNUMBER(D87),ISNUMBER(E87)),E87-D87,"")</f>
        <v/>
      </c>
      <c r="M87" s="12" t="str">
        <f aca="false">IF(AND(ISNUMBER(E87),ISNUMBER(F87)),F87-E87,"")</f>
        <v/>
      </c>
      <c r="N87" s="12" t="str">
        <f aca="false">IF(AND(ISNUMBER(C87),ISNUMBER(F87)),F87-C87,"")</f>
        <v/>
      </c>
    </row>
    <row r="88" customFormat="false" ht="15" hidden="false" customHeight="true" outlineLevel="0" collapsed="false">
      <c r="A88" s="10"/>
      <c r="B88" s="10"/>
      <c r="C88" s="11"/>
      <c r="D88" s="11"/>
      <c r="E88" s="11"/>
      <c r="F88" s="11"/>
      <c r="G88" s="10"/>
      <c r="H88" s="10"/>
      <c r="I88" s="10"/>
      <c r="J88" s="10"/>
      <c r="K88" s="12" t="str">
        <f aca="false">IF(AND(ISNUMBER(C88),ISNUMBER(D88)),D88-C88,"")</f>
        <v/>
      </c>
      <c r="L88" s="12" t="str">
        <f aca="false">IF(AND(ISNUMBER(D88),ISNUMBER(E88)),E88-D88,"")</f>
        <v/>
      </c>
      <c r="M88" s="12" t="str">
        <f aca="false">IF(AND(ISNUMBER(E88),ISNUMBER(F88)),F88-E88,"")</f>
        <v/>
      </c>
      <c r="N88" s="12" t="str">
        <f aca="false">IF(AND(ISNUMBER(C88),ISNUMBER(F88)),F88-C88,"")</f>
        <v/>
      </c>
    </row>
    <row r="89" customFormat="false" ht="15" hidden="false" customHeight="true" outlineLevel="0" collapsed="false">
      <c r="A89" s="10"/>
      <c r="B89" s="10"/>
      <c r="C89" s="11"/>
      <c r="D89" s="11"/>
      <c r="E89" s="11"/>
      <c r="F89" s="11"/>
      <c r="G89" s="10"/>
      <c r="H89" s="10"/>
      <c r="I89" s="10"/>
      <c r="J89" s="10"/>
      <c r="K89" s="12" t="str">
        <f aca="false">IF(AND(ISNUMBER(C89),ISNUMBER(D89)),D89-C89,"")</f>
        <v/>
      </c>
      <c r="L89" s="12" t="str">
        <f aca="false">IF(AND(ISNUMBER(D89),ISNUMBER(E89)),E89-D89,"")</f>
        <v/>
      </c>
      <c r="M89" s="12" t="str">
        <f aca="false">IF(AND(ISNUMBER(E89),ISNUMBER(F89)),F89-E89,"")</f>
        <v/>
      </c>
      <c r="N89" s="12" t="str">
        <f aca="false">IF(AND(ISNUMBER(C89),ISNUMBER(F89)),F89-C89,"")</f>
        <v/>
      </c>
    </row>
    <row r="90" customFormat="false" ht="15" hidden="false" customHeight="true" outlineLevel="0" collapsed="false">
      <c r="A90" s="10"/>
      <c r="B90" s="10"/>
      <c r="C90" s="11"/>
      <c r="D90" s="11"/>
      <c r="E90" s="11"/>
      <c r="F90" s="11"/>
      <c r="G90" s="10"/>
      <c r="H90" s="10"/>
      <c r="I90" s="10"/>
      <c r="J90" s="10"/>
      <c r="K90" s="12" t="str">
        <f aca="false">IF(AND(ISNUMBER(C90),ISNUMBER(D90)),D90-C90,"")</f>
        <v/>
      </c>
      <c r="L90" s="12" t="str">
        <f aca="false">IF(AND(ISNUMBER(D90),ISNUMBER(E90)),E90-D90,"")</f>
        <v/>
      </c>
      <c r="M90" s="12" t="str">
        <f aca="false">IF(AND(ISNUMBER(E90),ISNUMBER(F90)),F90-E90,"")</f>
        <v/>
      </c>
      <c r="N90" s="12" t="str">
        <f aca="false">IF(AND(ISNUMBER(C90),ISNUMBER(F90)),F90-C90,"")</f>
        <v/>
      </c>
    </row>
    <row r="91" customFormat="false" ht="15" hidden="false" customHeight="true" outlineLevel="0" collapsed="false">
      <c r="A91" s="10"/>
      <c r="B91" s="10"/>
      <c r="C91" s="11"/>
      <c r="D91" s="11"/>
      <c r="E91" s="11"/>
      <c r="F91" s="11"/>
      <c r="G91" s="10"/>
      <c r="H91" s="10"/>
      <c r="I91" s="10"/>
      <c r="J91" s="10"/>
      <c r="K91" s="12" t="str">
        <f aca="false">IF(AND(ISNUMBER(C91),ISNUMBER(D91)),D91-C91,"")</f>
        <v/>
      </c>
      <c r="L91" s="12" t="str">
        <f aca="false">IF(AND(ISNUMBER(D91),ISNUMBER(E91)),E91-D91,"")</f>
        <v/>
      </c>
      <c r="M91" s="12" t="str">
        <f aca="false">IF(AND(ISNUMBER(E91),ISNUMBER(F91)),F91-E91,"")</f>
        <v/>
      </c>
      <c r="N91" s="12" t="str">
        <f aca="false">IF(AND(ISNUMBER(C91),ISNUMBER(F91)),F91-C91,"")</f>
        <v/>
      </c>
    </row>
    <row r="92" customFormat="false" ht="15" hidden="false" customHeight="true" outlineLevel="0" collapsed="false">
      <c r="A92" s="10"/>
      <c r="B92" s="10"/>
      <c r="C92" s="11"/>
      <c r="D92" s="11"/>
      <c r="E92" s="11"/>
      <c r="F92" s="11"/>
      <c r="G92" s="10"/>
      <c r="H92" s="10"/>
      <c r="I92" s="10"/>
      <c r="J92" s="10"/>
      <c r="K92" s="12" t="str">
        <f aca="false">IF(AND(ISNUMBER(C92),ISNUMBER(D92)),D92-C92,"")</f>
        <v/>
      </c>
      <c r="L92" s="12" t="str">
        <f aca="false">IF(AND(ISNUMBER(D92),ISNUMBER(E92)),E92-D92,"")</f>
        <v/>
      </c>
      <c r="M92" s="12" t="str">
        <f aca="false">IF(AND(ISNUMBER(E92),ISNUMBER(F92)),F92-E92,"")</f>
        <v/>
      </c>
      <c r="N92" s="12" t="str">
        <f aca="false">IF(AND(ISNUMBER(C92),ISNUMBER(F92)),F92-C92,"")</f>
        <v/>
      </c>
    </row>
    <row r="93" customFormat="false" ht="15" hidden="false" customHeight="true" outlineLevel="0" collapsed="false">
      <c r="A93" s="10"/>
      <c r="B93" s="10"/>
      <c r="C93" s="11"/>
      <c r="D93" s="11"/>
      <c r="E93" s="11"/>
      <c r="F93" s="11"/>
      <c r="G93" s="10"/>
      <c r="H93" s="10"/>
      <c r="I93" s="10"/>
      <c r="J93" s="10"/>
      <c r="K93" s="12" t="str">
        <f aca="false">IF(AND(ISNUMBER(C93),ISNUMBER(D93)),D93-C93,"")</f>
        <v/>
      </c>
      <c r="L93" s="12" t="str">
        <f aca="false">IF(AND(ISNUMBER(D93),ISNUMBER(E93)),E93-D93,"")</f>
        <v/>
      </c>
      <c r="M93" s="12" t="str">
        <f aca="false">IF(AND(ISNUMBER(E93),ISNUMBER(F93)),F93-E93,"")</f>
        <v/>
      </c>
      <c r="N93" s="12" t="str">
        <f aca="false">IF(AND(ISNUMBER(C93),ISNUMBER(F93)),F93-C93,"")</f>
        <v/>
      </c>
    </row>
    <row r="94" customFormat="false" ht="15" hidden="false" customHeight="true" outlineLevel="0" collapsed="false">
      <c r="A94" s="10"/>
      <c r="B94" s="10"/>
      <c r="C94" s="11"/>
      <c r="D94" s="11"/>
      <c r="E94" s="11"/>
      <c r="F94" s="11"/>
      <c r="G94" s="10"/>
      <c r="H94" s="10"/>
      <c r="I94" s="10"/>
      <c r="J94" s="10"/>
      <c r="K94" s="12" t="str">
        <f aca="false">IF(AND(ISNUMBER(C94),ISNUMBER(D94)),D94-C94,"")</f>
        <v/>
      </c>
      <c r="L94" s="12" t="str">
        <f aca="false">IF(AND(ISNUMBER(D94),ISNUMBER(E94)),E94-D94,"")</f>
        <v/>
      </c>
      <c r="M94" s="12" t="str">
        <f aca="false">IF(AND(ISNUMBER(E94),ISNUMBER(F94)),F94-E94,"")</f>
        <v/>
      </c>
      <c r="N94" s="12" t="str">
        <f aca="false">IF(AND(ISNUMBER(C94),ISNUMBER(F94)),F94-C94,"")</f>
        <v/>
      </c>
    </row>
    <row r="95" customFormat="false" ht="15" hidden="false" customHeight="true" outlineLevel="0" collapsed="false">
      <c r="A95" s="10"/>
      <c r="B95" s="10"/>
      <c r="C95" s="11"/>
      <c r="D95" s="11"/>
      <c r="E95" s="11"/>
      <c r="F95" s="11"/>
      <c r="G95" s="10"/>
      <c r="H95" s="10"/>
      <c r="I95" s="10"/>
      <c r="J95" s="10"/>
      <c r="K95" s="12" t="str">
        <f aca="false">IF(AND(ISNUMBER(C95),ISNUMBER(D95)),D95-C95,"")</f>
        <v/>
      </c>
      <c r="L95" s="12" t="str">
        <f aca="false">IF(AND(ISNUMBER(D95),ISNUMBER(E95)),E95-D95,"")</f>
        <v/>
      </c>
      <c r="M95" s="12" t="str">
        <f aca="false">IF(AND(ISNUMBER(E95),ISNUMBER(F95)),F95-E95,"")</f>
        <v/>
      </c>
      <c r="N95" s="12" t="str">
        <f aca="false">IF(AND(ISNUMBER(C95),ISNUMBER(F95)),F95-C95,"")</f>
        <v/>
      </c>
    </row>
    <row r="96" customFormat="false" ht="15" hidden="false" customHeight="true" outlineLevel="0" collapsed="false">
      <c r="A96" s="10"/>
      <c r="B96" s="10"/>
      <c r="C96" s="11"/>
      <c r="D96" s="11"/>
      <c r="E96" s="11"/>
      <c r="F96" s="11"/>
      <c r="G96" s="10"/>
      <c r="H96" s="10"/>
      <c r="I96" s="10"/>
      <c r="J96" s="10"/>
      <c r="K96" s="12" t="str">
        <f aca="false">IF(AND(ISNUMBER(C96),ISNUMBER(D96)),D96-C96,"")</f>
        <v/>
      </c>
      <c r="L96" s="12" t="str">
        <f aca="false">IF(AND(ISNUMBER(D96),ISNUMBER(E96)),E96-D96,"")</f>
        <v/>
      </c>
      <c r="M96" s="12" t="str">
        <f aca="false">IF(AND(ISNUMBER(E96),ISNUMBER(F96)),F96-E96,"")</f>
        <v/>
      </c>
      <c r="N96" s="12" t="str">
        <f aca="false">IF(AND(ISNUMBER(C96),ISNUMBER(F96)),F96-C96,"")</f>
        <v/>
      </c>
    </row>
    <row r="97" customFormat="false" ht="15" hidden="false" customHeight="true" outlineLevel="0" collapsed="false">
      <c r="A97" s="10"/>
      <c r="B97" s="10"/>
      <c r="C97" s="11"/>
      <c r="D97" s="11"/>
      <c r="E97" s="11"/>
      <c r="F97" s="11"/>
      <c r="G97" s="10"/>
      <c r="H97" s="10"/>
      <c r="I97" s="10"/>
      <c r="J97" s="10"/>
      <c r="K97" s="12" t="str">
        <f aca="false">IF(AND(ISNUMBER(C97),ISNUMBER(D97)),D97-C97,"")</f>
        <v/>
      </c>
      <c r="L97" s="12" t="str">
        <f aca="false">IF(AND(ISNUMBER(D97),ISNUMBER(E97)),E97-D97,"")</f>
        <v/>
      </c>
      <c r="M97" s="12" t="str">
        <f aca="false">IF(AND(ISNUMBER(E97),ISNUMBER(F97)),F97-E97,"")</f>
        <v/>
      </c>
      <c r="N97" s="12" t="str">
        <f aca="false">IF(AND(ISNUMBER(C97),ISNUMBER(F97)),F97-C97,"")</f>
        <v/>
      </c>
    </row>
    <row r="98" customFormat="false" ht="15" hidden="false" customHeight="true" outlineLevel="0" collapsed="false">
      <c r="A98" s="10"/>
      <c r="B98" s="10"/>
      <c r="C98" s="11"/>
      <c r="D98" s="11"/>
      <c r="E98" s="11"/>
      <c r="F98" s="11"/>
      <c r="G98" s="10"/>
      <c r="H98" s="10"/>
      <c r="I98" s="10"/>
      <c r="J98" s="10"/>
      <c r="K98" s="12" t="str">
        <f aca="false">IF(AND(ISNUMBER(C98),ISNUMBER(D98)),D98-C98,"")</f>
        <v/>
      </c>
      <c r="L98" s="12" t="str">
        <f aca="false">IF(AND(ISNUMBER(D98),ISNUMBER(E98)),E98-D98,"")</f>
        <v/>
      </c>
      <c r="M98" s="12" t="str">
        <f aca="false">IF(AND(ISNUMBER(E98),ISNUMBER(F98)),F98-E98,"")</f>
        <v/>
      </c>
      <c r="N98" s="12" t="str">
        <f aca="false">IF(AND(ISNUMBER(C98),ISNUMBER(F98)),F98-C98,"")</f>
        <v/>
      </c>
    </row>
    <row r="99" customFormat="false" ht="15" hidden="false" customHeight="true" outlineLevel="0" collapsed="false">
      <c r="A99" s="10"/>
      <c r="B99" s="10"/>
      <c r="C99" s="11"/>
      <c r="D99" s="11"/>
      <c r="E99" s="11"/>
      <c r="F99" s="11"/>
      <c r="G99" s="10"/>
      <c r="H99" s="10"/>
      <c r="I99" s="10"/>
      <c r="J99" s="10"/>
      <c r="K99" s="12" t="str">
        <f aca="false">IF(AND(ISNUMBER(C99),ISNUMBER(D99)),D99-C99,"")</f>
        <v/>
      </c>
      <c r="L99" s="12" t="str">
        <f aca="false">IF(AND(ISNUMBER(D99),ISNUMBER(E99)),E99-D99,"")</f>
        <v/>
      </c>
      <c r="M99" s="12" t="str">
        <f aca="false">IF(AND(ISNUMBER(E99),ISNUMBER(F99)),F99-E99,"")</f>
        <v/>
      </c>
      <c r="N99" s="12" t="str">
        <f aca="false">IF(AND(ISNUMBER(C99),ISNUMBER(F99)),F99-C99,"")</f>
        <v/>
      </c>
    </row>
    <row r="100" customFormat="false" ht="15" hidden="false" customHeight="true" outlineLevel="0" collapsed="false">
      <c r="A100" s="10"/>
      <c r="B100" s="10"/>
      <c r="C100" s="11"/>
      <c r="D100" s="11"/>
      <c r="E100" s="11"/>
      <c r="F100" s="11"/>
      <c r="G100" s="10"/>
      <c r="H100" s="10"/>
      <c r="I100" s="10"/>
      <c r="J100" s="10"/>
      <c r="K100" s="12" t="str">
        <f aca="false">IF(AND(ISNUMBER(C100),ISNUMBER(D100)),D100-C100,"")</f>
        <v/>
      </c>
      <c r="L100" s="12" t="str">
        <f aca="false">IF(AND(ISNUMBER(D100),ISNUMBER(E100)),E100-D100,"")</f>
        <v/>
      </c>
      <c r="M100" s="12" t="str">
        <f aca="false">IF(AND(ISNUMBER(E100),ISNUMBER(F100)),F100-E100,"")</f>
        <v/>
      </c>
      <c r="N100" s="12" t="str">
        <f aca="false">IF(AND(ISNUMBER(C100),ISNUMBER(F100)),F100-C100,"")</f>
        <v/>
      </c>
    </row>
    <row r="101" customFormat="false" ht="15" hidden="false" customHeight="true" outlineLevel="0" collapsed="false">
      <c r="A101" s="10"/>
      <c r="B101" s="10"/>
      <c r="C101" s="11"/>
      <c r="D101" s="11"/>
      <c r="E101" s="11"/>
      <c r="F101" s="11"/>
      <c r="G101" s="10"/>
      <c r="H101" s="10"/>
      <c r="I101" s="10"/>
      <c r="J101" s="10"/>
      <c r="K101" s="12" t="str">
        <f aca="false">IF(AND(ISNUMBER(C101),ISNUMBER(D101)),D101-C101,"")</f>
        <v/>
      </c>
      <c r="L101" s="12" t="str">
        <f aca="false">IF(AND(ISNUMBER(D101),ISNUMBER(E101)),E101-D101,"")</f>
        <v/>
      </c>
      <c r="M101" s="12" t="str">
        <f aca="false">IF(AND(ISNUMBER(E101),ISNUMBER(F101)),F101-E101,"")</f>
        <v/>
      </c>
      <c r="N101" s="12" t="str">
        <f aca="false">IF(AND(ISNUMBER(C101),ISNUMBER(F101)),F101-C101,"")</f>
        <v/>
      </c>
    </row>
    <row r="102" customFormat="false" ht="15" hidden="false" customHeight="true" outlineLevel="0" collapsed="false">
      <c r="A102" s="10"/>
      <c r="B102" s="10"/>
      <c r="C102" s="11"/>
      <c r="D102" s="11"/>
      <c r="E102" s="11"/>
      <c r="F102" s="11"/>
      <c r="G102" s="10"/>
      <c r="H102" s="10"/>
      <c r="I102" s="10"/>
      <c r="J102" s="10"/>
      <c r="K102" s="12" t="str">
        <f aca="false">IF(AND(ISNUMBER(C102),ISNUMBER(D102)),D102-C102,"")</f>
        <v/>
      </c>
      <c r="L102" s="12" t="str">
        <f aca="false">IF(AND(ISNUMBER(D102),ISNUMBER(E102)),E102-D102,"")</f>
        <v/>
      </c>
      <c r="M102" s="12" t="str">
        <f aca="false">IF(AND(ISNUMBER(E102),ISNUMBER(F102)),F102-E102,"")</f>
        <v/>
      </c>
      <c r="N102" s="12" t="str">
        <f aca="false">IF(AND(ISNUMBER(C102),ISNUMBER(F102)),F102-C102,"")</f>
        <v/>
      </c>
    </row>
    <row r="103" customFormat="false" ht="15" hidden="false" customHeight="true" outlineLevel="0" collapsed="false">
      <c r="A103" s="10"/>
      <c r="B103" s="10"/>
      <c r="C103" s="11"/>
      <c r="D103" s="11"/>
      <c r="E103" s="11"/>
      <c r="F103" s="11"/>
      <c r="G103" s="10"/>
      <c r="H103" s="10"/>
      <c r="I103" s="10"/>
      <c r="J103" s="10"/>
      <c r="K103" s="12" t="str">
        <f aca="false">IF(AND(ISNUMBER(C103),ISNUMBER(D103)),D103-C103,"")</f>
        <v/>
      </c>
      <c r="L103" s="12" t="str">
        <f aca="false">IF(AND(ISNUMBER(D103),ISNUMBER(E103)),E103-D103,"")</f>
        <v/>
      </c>
      <c r="M103" s="12" t="str">
        <f aca="false">IF(AND(ISNUMBER(E103),ISNUMBER(F103)),F103-E103,"")</f>
        <v/>
      </c>
      <c r="N103" s="12" t="str">
        <f aca="false">IF(AND(ISNUMBER(C103),ISNUMBER(F103)),F103-C103,"")</f>
        <v/>
      </c>
    </row>
    <row r="104" customFormat="false" ht="15" hidden="false" customHeight="true" outlineLevel="0" collapsed="false">
      <c r="A104" s="10"/>
      <c r="B104" s="10"/>
      <c r="C104" s="11"/>
      <c r="D104" s="11"/>
      <c r="E104" s="11"/>
      <c r="F104" s="11"/>
      <c r="G104" s="10"/>
      <c r="H104" s="10"/>
      <c r="I104" s="10"/>
      <c r="J104" s="10"/>
      <c r="K104" s="12" t="str">
        <f aca="false">IF(AND(ISNUMBER(C104),ISNUMBER(D104)),D104-C104,"")</f>
        <v/>
      </c>
      <c r="L104" s="12" t="str">
        <f aca="false">IF(AND(ISNUMBER(D104),ISNUMBER(E104)),E104-D104,"")</f>
        <v/>
      </c>
      <c r="M104" s="12" t="str">
        <f aca="false">IF(AND(ISNUMBER(E104),ISNUMBER(F104)),F104-E104,"")</f>
        <v/>
      </c>
      <c r="N104" s="12" t="str">
        <f aca="false">IF(AND(ISNUMBER(C104),ISNUMBER(F104)),F104-C104,"")</f>
        <v/>
      </c>
    </row>
    <row r="105" customFormat="false" ht="15" hidden="false" customHeight="true" outlineLevel="0" collapsed="false">
      <c r="A105" s="10"/>
      <c r="B105" s="10"/>
      <c r="C105" s="11"/>
      <c r="D105" s="11"/>
      <c r="E105" s="11"/>
      <c r="F105" s="11"/>
      <c r="G105" s="10"/>
      <c r="H105" s="10"/>
      <c r="I105" s="10"/>
      <c r="J105" s="10"/>
      <c r="K105" s="12" t="str">
        <f aca="false">IF(AND(ISNUMBER(C105),ISNUMBER(D105)),D105-C105,"")</f>
        <v/>
      </c>
      <c r="L105" s="12" t="str">
        <f aca="false">IF(AND(ISNUMBER(D105),ISNUMBER(E105)),E105-D105,"")</f>
        <v/>
      </c>
      <c r="M105" s="12" t="str">
        <f aca="false">IF(AND(ISNUMBER(E105),ISNUMBER(F105)),F105-E105,"")</f>
        <v/>
      </c>
      <c r="N105" s="12" t="str">
        <f aca="false">IF(AND(ISNUMBER(C105),ISNUMBER(F105)),F105-C105,"")</f>
        <v/>
      </c>
    </row>
    <row r="106" customFormat="false" ht="15" hidden="false" customHeight="true" outlineLevel="0" collapsed="false">
      <c r="A106" s="10"/>
      <c r="B106" s="10"/>
      <c r="C106" s="11"/>
      <c r="D106" s="11"/>
      <c r="E106" s="11"/>
      <c r="F106" s="11"/>
      <c r="G106" s="10"/>
      <c r="H106" s="10"/>
      <c r="I106" s="10"/>
      <c r="J106" s="10"/>
      <c r="K106" s="12" t="str">
        <f aca="false">IF(AND(ISNUMBER(C106),ISNUMBER(D106)),D106-C106,"")</f>
        <v/>
      </c>
      <c r="L106" s="12" t="str">
        <f aca="false">IF(AND(ISNUMBER(D106),ISNUMBER(E106)),E106-D106,"")</f>
        <v/>
      </c>
      <c r="M106" s="12" t="str">
        <f aca="false">IF(AND(ISNUMBER(E106),ISNUMBER(F106)),F106-E106,"")</f>
        <v/>
      </c>
      <c r="N106" s="12" t="str">
        <f aca="false">IF(AND(ISNUMBER(C106),ISNUMBER(F106)),F106-C106,"")</f>
        <v/>
      </c>
    </row>
    <row r="107" customFormat="false" ht="15" hidden="false" customHeight="true" outlineLevel="0" collapsed="false">
      <c r="A107" s="10"/>
      <c r="B107" s="10"/>
      <c r="C107" s="11"/>
      <c r="D107" s="11"/>
      <c r="E107" s="11"/>
      <c r="F107" s="11"/>
      <c r="G107" s="10"/>
      <c r="H107" s="10"/>
      <c r="I107" s="10"/>
      <c r="J107" s="10"/>
      <c r="K107" s="12" t="str">
        <f aca="false">IF(AND(ISNUMBER(C107),ISNUMBER(D107)),D107-C107,"")</f>
        <v/>
      </c>
      <c r="L107" s="12" t="str">
        <f aca="false">IF(AND(ISNUMBER(D107),ISNUMBER(E107)),E107-D107,"")</f>
        <v/>
      </c>
      <c r="M107" s="12" t="str">
        <f aca="false">IF(AND(ISNUMBER(E107),ISNUMBER(F107)),F107-E107,"")</f>
        <v/>
      </c>
      <c r="N107" s="12" t="str">
        <f aca="false">IF(AND(ISNUMBER(C107),ISNUMBER(F107)),F107-C107,"")</f>
        <v/>
      </c>
    </row>
    <row r="108" customFormat="false" ht="15" hidden="false" customHeight="true" outlineLevel="0" collapsed="false">
      <c r="A108" s="10"/>
      <c r="B108" s="10"/>
      <c r="C108" s="11"/>
      <c r="D108" s="11"/>
      <c r="E108" s="11"/>
      <c r="F108" s="11"/>
      <c r="G108" s="10"/>
      <c r="H108" s="10"/>
      <c r="I108" s="10"/>
      <c r="J108" s="10"/>
      <c r="K108" s="12" t="str">
        <f aca="false">IF(AND(ISNUMBER(C108),ISNUMBER(D108)),D108-C108,"")</f>
        <v/>
      </c>
      <c r="L108" s="12" t="str">
        <f aca="false">IF(AND(ISNUMBER(D108),ISNUMBER(E108)),E108-D108,"")</f>
        <v/>
      </c>
      <c r="M108" s="12" t="str">
        <f aca="false">IF(AND(ISNUMBER(E108),ISNUMBER(F108)),F108-E108,"")</f>
        <v/>
      </c>
      <c r="N108" s="12" t="str">
        <f aca="false">IF(AND(ISNUMBER(C108),ISNUMBER(F108)),F108-C108,"")</f>
        <v/>
      </c>
    </row>
    <row r="109" customFormat="false" ht="15" hidden="false" customHeight="true" outlineLevel="0" collapsed="false">
      <c r="A109" s="10"/>
      <c r="B109" s="10"/>
      <c r="C109" s="11"/>
      <c r="D109" s="11"/>
      <c r="E109" s="11"/>
      <c r="F109" s="11"/>
      <c r="G109" s="10"/>
      <c r="H109" s="10"/>
      <c r="I109" s="10"/>
      <c r="J109" s="10"/>
      <c r="K109" s="12" t="str">
        <f aca="false">IF(AND(ISNUMBER(C109),ISNUMBER(D109)),D109-C109,"")</f>
        <v/>
      </c>
      <c r="L109" s="12" t="str">
        <f aca="false">IF(AND(ISNUMBER(D109),ISNUMBER(E109)),E109-D109,"")</f>
        <v/>
      </c>
      <c r="M109" s="12" t="str">
        <f aca="false">IF(AND(ISNUMBER(E109),ISNUMBER(F109)),F109-E109,"")</f>
        <v/>
      </c>
      <c r="N109" s="12" t="str">
        <f aca="false">IF(AND(ISNUMBER(C109),ISNUMBER(F109)),F109-C109,"")</f>
        <v/>
      </c>
    </row>
    <row r="110" customFormat="false" ht="15" hidden="false" customHeight="true" outlineLevel="0" collapsed="false">
      <c r="A110" s="10"/>
      <c r="B110" s="10"/>
      <c r="C110" s="11"/>
      <c r="D110" s="11"/>
      <c r="E110" s="11"/>
      <c r="F110" s="11"/>
      <c r="G110" s="10"/>
      <c r="H110" s="10"/>
      <c r="I110" s="10"/>
      <c r="J110" s="10"/>
      <c r="K110" s="12" t="str">
        <f aca="false">IF(AND(ISNUMBER(C110),ISNUMBER(D110)),D110-C110,"")</f>
        <v/>
      </c>
      <c r="L110" s="12" t="str">
        <f aca="false">IF(AND(ISNUMBER(D110),ISNUMBER(E110)),E110-D110,"")</f>
        <v/>
      </c>
      <c r="M110" s="12" t="str">
        <f aca="false">IF(AND(ISNUMBER(E110),ISNUMBER(F110)),F110-E110,"")</f>
        <v/>
      </c>
      <c r="N110" s="12" t="str">
        <f aca="false">IF(AND(ISNUMBER(C110),ISNUMBER(F110)),F110-C110,"")</f>
        <v/>
      </c>
    </row>
    <row r="111" customFormat="false" ht="15" hidden="false" customHeight="true" outlineLevel="0" collapsed="false">
      <c r="A111" s="10"/>
      <c r="B111" s="10"/>
      <c r="C111" s="11"/>
      <c r="D111" s="11"/>
      <c r="E111" s="11"/>
      <c r="F111" s="11"/>
      <c r="G111" s="10"/>
      <c r="H111" s="10"/>
      <c r="I111" s="10"/>
      <c r="J111" s="10"/>
      <c r="K111" s="12" t="str">
        <f aca="false">IF(AND(ISNUMBER(C111),ISNUMBER(D111)),D111-C111,"")</f>
        <v/>
      </c>
      <c r="L111" s="12" t="str">
        <f aca="false">IF(AND(ISNUMBER(D111),ISNUMBER(E111)),E111-D111,"")</f>
        <v/>
      </c>
      <c r="M111" s="12" t="str">
        <f aca="false">IF(AND(ISNUMBER(E111),ISNUMBER(F111)),F111-E111,"")</f>
        <v/>
      </c>
      <c r="N111" s="12" t="str">
        <f aca="false">IF(AND(ISNUMBER(C111),ISNUMBER(F111)),F111-C111,"")</f>
        <v/>
      </c>
    </row>
    <row r="112" customFormat="false" ht="15" hidden="false" customHeight="true" outlineLevel="0" collapsed="false">
      <c r="A112" s="10"/>
      <c r="B112" s="10"/>
      <c r="C112" s="11"/>
      <c r="D112" s="11"/>
      <c r="E112" s="11"/>
      <c r="F112" s="11"/>
      <c r="G112" s="10"/>
      <c r="H112" s="10"/>
      <c r="I112" s="10"/>
      <c r="J112" s="10"/>
      <c r="K112" s="12" t="str">
        <f aca="false">IF(AND(ISNUMBER(C112),ISNUMBER(D112)),D112-C112,"")</f>
        <v/>
      </c>
      <c r="L112" s="12" t="str">
        <f aca="false">IF(AND(ISNUMBER(D112),ISNUMBER(E112)),E112-D112,"")</f>
        <v/>
      </c>
      <c r="M112" s="12" t="str">
        <f aca="false">IF(AND(ISNUMBER(E112),ISNUMBER(F112)),F112-E112,"")</f>
        <v/>
      </c>
      <c r="N112" s="12" t="str">
        <f aca="false">IF(AND(ISNUMBER(C112),ISNUMBER(F112)),F112-C112,"")</f>
        <v/>
      </c>
    </row>
    <row r="113" customFormat="false" ht="15" hidden="false" customHeight="true" outlineLevel="0" collapsed="false">
      <c r="A113" s="10"/>
      <c r="B113" s="10"/>
      <c r="C113" s="11"/>
      <c r="D113" s="11"/>
      <c r="E113" s="11"/>
      <c r="F113" s="11"/>
      <c r="G113" s="10"/>
      <c r="H113" s="10"/>
      <c r="I113" s="10"/>
      <c r="J113" s="10"/>
      <c r="K113" s="12" t="str">
        <f aca="false">IF(AND(ISNUMBER(C113),ISNUMBER(D113)),D113-C113,"")</f>
        <v/>
      </c>
      <c r="L113" s="12" t="str">
        <f aca="false">IF(AND(ISNUMBER(D113),ISNUMBER(E113)),E113-D113,"")</f>
        <v/>
      </c>
      <c r="M113" s="12" t="str">
        <f aca="false">IF(AND(ISNUMBER(E113),ISNUMBER(F113)),F113-E113,"")</f>
        <v/>
      </c>
      <c r="N113" s="12" t="str">
        <f aca="false">IF(AND(ISNUMBER(C113),ISNUMBER(F113)),F113-C113,"")</f>
        <v/>
      </c>
    </row>
    <row r="114" customFormat="false" ht="15" hidden="false" customHeight="true" outlineLevel="0" collapsed="false">
      <c r="A114" s="10"/>
      <c r="B114" s="10"/>
      <c r="C114" s="11"/>
      <c r="D114" s="11"/>
      <c r="E114" s="11"/>
      <c r="F114" s="11"/>
      <c r="G114" s="10"/>
      <c r="H114" s="10"/>
      <c r="I114" s="10"/>
      <c r="J114" s="10"/>
      <c r="K114" s="12" t="str">
        <f aca="false">IF(AND(ISNUMBER(C114),ISNUMBER(D114)),D114-C114,"")</f>
        <v/>
      </c>
      <c r="L114" s="12" t="str">
        <f aca="false">IF(AND(ISNUMBER(D114),ISNUMBER(E114)),E114-D114,"")</f>
        <v/>
      </c>
      <c r="M114" s="12" t="str">
        <f aca="false">IF(AND(ISNUMBER(E114),ISNUMBER(F114)),F114-E114,"")</f>
        <v/>
      </c>
      <c r="N114" s="12" t="str">
        <f aca="false">IF(AND(ISNUMBER(C114),ISNUMBER(F114)),F114-C114,"")</f>
        <v/>
      </c>
    </row>
    <row r="115" customFormat="false" ht="15" hidden="false" customHeight="true" outlineLevel="0" collapsed="false">
      <c r="A115" s="10"/>
      <c r="B115" s="10"/>
      <c r="C115" s="11"/>
      <c r="D115" s="11"/>
      <c r="E115" s="11"/>
      <c r="F115" s="11"/>
      <c r="G115" s="10"/>
      <c r="H115" s="10"/>
      <c r="I115" s="10"/>
      <c r="J115" s="10"/>
      <c r="K115" s="12" t="str">
        <f aca="false">IF(AND(ISNUMBER(C115),ISNUMBER(D115)),D115-C115,"")</f>
        <v/>
      </c>
      <c r="L115" s="12" t="str">
        <f aca="false">IF(AND(ISNUMBER(D115),ISNUMBER(E115)),E115-D115,"")</f>
        <v/>
      </c>
      <c r="M115" s="12" t="str">
        <f aca="false">IF(AND(ISNUMBER(E115),ISNUMBER(F115)),F115-E115,"")</f>
        <v/>
      </c>
      <c r="N115" s="12" t="str">
        <f aca="false">IF(AND(ISNUMBER(C115),ISNUMBER(F115)),F115-C115,"")</f>
        <v/>
      </c>
    </row>
    <row r="116" customFormat="false" ht="15" hidden="false" customHeight="true" outlineLevel="0" collapsed="false">
      <c r="A116" s="10"/>
      <c r="B116" s="10"/>
      <c r="C116" s="11"/>
      <c r="D116" s="11"/>
      <c r="E116" s="11"/>
      <c r="F116" s="11"/>
      <c r="G116" s="10"/>
      <c r="H116" s="10"/>
      <c r="I116" s="10"/>
      <c r="J116" s="10"/>
      <c r="K116" s="12" t="str">
        <f aca="false">IF(AND(ISNUMBER(C116),ISNUMBER(D116)),D116-C116,"")</f>
        <v/>
      </c>
      <c r="L116" s="12" t="str">
        <f aca="false">IF(AND(ISNUMBER(D116),ISNUMBER(E116)),E116-D116,"")</f>
        <v/>
      </c>
      <c r="M116" s="12" t="str">
        <f aca="false">IF(AND(ISNUMBER(E116),ISNUMBER(F116)),F116-E116,"")</f>
        <v/>
      </c>
      <c r="N116" s="12" t="str">
        <f aca="false">IF(AND(ISNUMBER(C116),ISNUMBER(F116)),F116-C116,"")</f>
        <v/>
      </c>
    </row>
    <row r="117" customFormat="false" ht="15" hidden="false" customHeight="true" outlineLevel="0" collapsed="false">
      <c r="A117" s="10"/>
      <c r="B117" s="10"/>
      <c r="C117" s="11"/>
      <c r="D117" s="11"/>
      <c r="E117" s="11"/>
      <c r="F117" s="11"/>
      <c r="G117" s="10"/>
      <c r="H117" s="10"/>
      <c r="I117" s="10"/>
      <c r="J117" s="10"/>
      <c r="K117" s="12" t="str">
        <f aca="false">IF(AND(ISNUMBER(C117),ISNUMBER(D117)),D117-C117,"")</f>
        <v/>
      </c>
      <c r="L117" s="12" t="str">
        <f aca="false">IF(AND(ISNUMBER(D117),ISNUMBER(E117)),E117-D117,"")</f>
        <v/>
      </c>
      <c r="M117" s="12" t="str">
        <f aca="false">IF(AND(ISNUMBER(E117),ISNUMBER(F117)),F117-E117,"")</f>
        <v/>
      </c>
      <c r="N117" s="12" t="str">
        <f aca="false">IF(AND(ISNUMBER(C117),ISNUMBER(F117)),F117-C117,"")</f>
        <v/>
      </c>
    </row>
    <row r="118" customFormat="false" ht="15" hidden="false" customHeight="true" outlineLevel="0" collapsed="false">
      <c r="A118" s="10"/>
      <c r="B118" s="10"/>
      <c r="C118" s="11"/>
      <c r="D118" s="11"/>
      <c r="E118" s="11"/>
      <c r="F118" s="11"/>
      <c r="G118" s="10"/>
      <c r="H118" s="10"/>
      <c r="I118" s="10"/>
      <c r="J118" s="10"/>
      <c r="K118" s="12" t="str">
        <f aca="false">IF(AND(ISNUMBER(C118),ISNUMBER(D118)),D118-C118,"")</f>
        <v/>
      </c>
      <c r="L118" s="12" t="str">
        <f aca="false">IF(AND(ISNUMBER(D118),ISNUMBER(E118)),E118-D118,"")</f>
        <v/>
      </c>
      <c r="M118" s="12" t="str">
        <f aca="false">IF(AND(ISNUMBER(E118),ISNUMBER(F118)),F118-E118,"")</f>
        <v/>
      </c>
      <c r="N118" s="12" t="str">
        <f aca="false">IF(AND(ISNUMBER(C118),ISNUMBER(F118)),F118-C118,"")</f>
        <v/>
      </c>
    </row>
    <row r="119" customFormat="false" ht="15" hidden="false" customHeight="true" outlineLevel="0" collapsed="false">
      <c r="A119" s="10"/>
      <c r="B119" s="10"/>
      <c r="C119" s="11"/>
      <c r="D119" s="11"/>
      <c r="E119" s="11"/>
      <c r="F119" s="11"/>
      <c r="G119" s="10"/>
      <c r="H119" s="10"/>
      <c r="I119" s="10"/>
      <c r="J119" s="10"/>
      <c r="K119" s="12" t="str">
        <f aca="false">IF(AND(ISNUMBER(C119),ISNUMBER(D119)),D119-C119,"")</f>
        <v/>
      </c>
      <c r="L119" s="12" t="str">
        <f aca="false">IF(AND(ISNUMBER(D119),ISNUMBER(E119)),E119-D119,"")</f>
        <v/>
      </c>
      <c r="M119" s="12" t="str">
        <f aca="false">IF(AND(ISNUMBER(E119),ISNUMBER(F119)),F119-E119,"")</f>
        <v/>
      </c>
      <c r="N119" s="12" t="str">
        <f aca="false">IF(AND(ISNUMBER(C119),ISNUMBER(F119)),F119-C119,"")</f>
        <v/>
      </c>
    </row>
    <row r="120" customFormat="false" ht="15" hidden="false" customHeight="true" outlineLevel="0" collapsed="false">
      <c r="A120" s="10"/>
      <c r="B120" s="10"/>
      <c r="C120" s="11"/>
      <c r="D120" s="11"/>
      <c r="E120" s="11"/>
      <c r="F120" s="11"/>
      <c r="G120" s="10"/>
      <c r="H120" s="10"/>
      <c r="I120" s="10"/>
      <c r="J120" s="10"/>
      <c r="K120" s="12" t="str">
        <f aca="false">IF(AND(ISNUMBER(C120),ISNUMBER(D120)),D120-C120,"")</f>
        <v/>
      </c>
      <c r="L120" s="12" t="str">
        <f aca="false">IF(AND(ISNUMBER(D120),ISNUMBER(E120)),E120-D120,"")</f>
        <v/>
      </c>
      <c r="M120" s="12" t="str">
        <f aca="false">IF(AND(ISNUMBER(E120),ISNUMBER(F120)),F120-E120,"")</f>
        <v/>
      </c>
      <c r="N120" s="12" t="str">
        <f aca="false">IF(AND(ISNUMBER(C120),ISNUMBER(F120)),F120-C120,"")</f>
        <v/>
      </c>
    </row>
    <row r="121" customFormat="false" ht="15" hidden="false" customHeight="true" outlineLevel="0" collapsed="false">
      <c r="A121" s="10"/>
      <c r="B121" s="10"/>
      <c r="C121" s="11"/>
      <c r="D121" s="11"/>
      <c r="E121" s="11"/>
      <c r="F121" s="11"/>
      <c r="G121" s="10"/>
      <c r="H121" s="10"/>
      <c r="I121" s="10"/>
      <c r="J121" s="10"/>
      <c r="K121" s="12" t="str">
        <f aca="false">IF(AND(ISNUMBER(C121),ISNUMBER(D121)),D121-C121,"")</f>
        <v/>
      </c>
      <c r="L121" s="12" t="str">
        <f aca="false">IF(AND(ISNUMBER(D121),ISNUMBER(E121)),E121-D121,"")</f>
        <v/>
      </c>
      <c r="M121" s="12" t="str">
        <f aca="false">IF(AND(ISNUMBER(E121),ISNUMBER(F121)),F121-E121,"")</f>
        <v/>
      </c>
      <c r="N121" s="12" t="str">
        <f aca="false">IF(AND(ISNUMBER(C121),ISNUMBER(F121)),F121-C121,"")</f>
        <v/>
      </c>
    </row>
    <row r="122" customFormat="false" ht="15" hidden="false" customHeight="true" outlineLevel="0" collapsed="false">
      <c r="A122" s="10"/>
      <c r="B122" s="10"/>
      <c r="C122" s="11"/>
      <c r="D122" s="11"/>
      <c r="E122" s="11"/>
      <c r="F122" s="11"/>
      <c r="G122" s="10"/>
      <c r="H122" s="10"/>
      <c r="I122" s="10"/>
      <c r="J122" s="10"/>
      <c r="K122" s="12" t="str">
        <f aca="false">IF(AND(ISNUMBER(C122),ISNUMBER(D122)),D122-C122,"")</f>
        <v/>
      </c>
      <c r="L122" s="12" t="str">
        <f aca="false">IF(AND(ISNUMBER(D122),ISNUMBER(E122)),E122-D122,"")</f>
        <v/>
      </c>
      <c r="M122" s="12" t="str">
        <f aca="false">IF(AND(ISNUMBER(E122),ISNUMBER(F122)),F122-E122,"")</f>
        <v/>
      </c>
      <c r="N122" s="12" t="str">
        <f aca="false">IF(AND(ISNUMBER(C122),ISNUMBER(F122)),F122-C122,"")</f>
        <v/>
      </c>
    </row>
    <row r="123" customFormat="false" ht="15" hidden="false" customHeight="true" outlineLevel="0" collapsed="false">
      <c r="A123" s="10"/>
      <c r="B123" s="10"/>
      <c r="C123" s="11"/>
      <c r="D123" s="11"/>
      <c r="E123" s="11"/>
      <c r="F123" s="11"/>
      <c r="G123" s="10"/>
      <c r="H123" s="10"/>
      <c r="I123" s="10"/>
      <c r="J123" s="10"/>
      <c r="K123" s="12" t="str">
        <f aca="false">IF(AND(ISNUMBER(C123),ISNUMBER(D123)),D123-C123,"")</f>
        <v/>
      </c>
      <c r="L123" s="12" t="str">
        <f aca="false">IF(AND(ISNUMBER(D123),ISNUMBER(E123)),E123-D123,"")</f>
        <v/>
      </c>
      <c r="M123" s="12" t="str">
        <f aca="false">IF(AND(ISNUMBER(E123),ISNUMBER(F123)),F123-E123,"")</f>
        <v/>
      </c>
      <c r="N123" s="12" t="str">
        <f aca="false">IF(AND(ISNUMBER(C123),ISNUMBER(F123)),F123-C123,"")</f>
        <v/>
      </c>
    </row>
    <row r="124" customFormat="false" ht="15" hidden="false" customHeight="true" outlineLevel="0" collapsed="false">
      <c r="A124" s="10"/>
      <c r="B124" s="10"/>
      <c r="C124" s="11"/>
      <c r="D124" s="11"/>
      <c r="E124" s="11"/>
      <c r="F124" s="11"/>
      <c r="G124" s="10"/>
      <c r="H124" s="10"/>
      <c r="I124" s="10"/>
      <c r="J124" s="10"/>
      <c r="K124" s="12" t="str">
        <f aca="false">IF(AND(ISNUMBER(C124),ISNUMBER(D124)),D124-C124,"")</f>
        <v/>
      </c>
      <c r="L124" s="12" t="str">
        <f aca="false">IF(AND(ISNUMBER(D124),ISNUMBER(E124)),E124-D124,"")</f>
        <v/>
      </c>
      <c r="M124" s="12" t="str">
        <f aca="false">IF(AND(ISNUMBER(E124),ISNUMBER(F124)),F124-E124,"")</f>
        <v/>
      </c>
      <c r="N124" s="12" t="str">
        <f aca="false">IF(AND(ISNUMBER(C124),ISNUMBER(F124)),F124-C124,"")</f>
        <v/>
      </c>
    </row>
    <row r="125" customFormat="false" ht="15" hidden="false" customHeight="true" outlineLevel="0" collapsed="false">
      <c r="A125" s="10"/>
      <c r="B125" s="10"/>
      <c r="C125" s="11"/>
      <c r="D125" s="11"/>
      <c r="E125" s="11"/>
      <c r="F125" s="11"/>
      <c r="G125" s="10"/>
      <c r="H125" s="10"/>
      <c r="I125" s="10"/>
      <c r="J125" s="10"/>
      <c r="K125" s="12" t="str">
        <f aca="false">IF(AND(ISNUMBER(C125),ISNUMBER(D125)),D125-C125,"")</f>
        <v/>
      </c>
      <c r="L125" s="12" t="str">
        <f aca="false">IF(AND(ISNUMBER(D125),ISNUMBER(E125)),E125-D125,"")</f>
        <v/>
      </c>
      <c r="M125" s="12" t="str">
        <f aca="false">IF(AND(ISNUMBER(E125),ISNUMBER(F125)),F125-E125,"")</f>
        <v/>
      </c>
      <c r="N125" s="12" t="str">
        <f aca="false">IF(AND(ISNUMBER(C125),ISNUMBER(F125)),F125-C125,"")</f>
        <v/>
      </c>
    </row>
    <row r="126" customFormat="false" ht="15" hidden="false" customHeight="true" outlineLevel="0" collapsed="false">
      <c r="A126" s="10"/>
      <c r="B126" s="10"/>
      <c r="C126" s="11"/>
      <c r="D126" s="11"/>
      <c r="E126" s="11"/>
      <c r="F126" s="11"/>
      <c r="G126" s="10"/>
      <c r="H126" s="10"/>
      <c r="I126" s="10"/>
      <c r="J126" s="10"/>
      <c r="K126" s="12" t="str">
        <f aca="false">IF(AND(ISNUMBER(C126),ISNUMBER(D126)),D126-C126,"")</f>
        <v/>
      </c>
      <c r="L126" s="12" t="str">
        <f aca="false">IF(AND(ISNUMBER(D126),ISNUMBER(E126)),E126-D126,"")</f>
        <v/>
      </c>
      <c r="M126" s="12" t="str">
        <f aca="false">IF(AND(ISNUMBER(E126),ISNUMBER(F126)),F126-E126,"")</f>
        <v/>
      </c>
      <c r="N126" s="12" t="str">
        <f aca="false">IF(AND(ISNUMBER(C126),ISNUMBER(F126)),F126-C126,"")</f>
        <v/>
      </c>
    </row>
    <row r="127" customFormat="false" ht="15" hidden="false" customHeight="true" outlineLevel="0" collapsed="false">
      <c r="A127" s="10"/>
      <c r="B127" s="10"/>
      <c r="C127" s="11"/>
      <c r="D127" s="11"/>
      <c r="E127" s="11"/>
      <c r="F127" s="11"/>
      <c r="G127" s="10"/>
      <c r="H127" s="10"/>
      <c r="I127" s="10"/>
      <c r="J127" s="10"/>
      <c r="K127" s="12" t="str">
        <f aca="false">IF(AND(ISNUMBER(C127),ISNUMBER(D127)),D127-C127,"")</f>
        <v/>
      </c>
      <c r="L127" s="12" t="str">
        <f aca="false">IF(AND(ISNUMBER(D127),ISNUMBER(E127)),E127-D127,"")</f>
        <v/>
      </c>
      <c r="M127" s="12" t="str">
        <f aca="false">IF(AND(ISNUMBER(E127),ISNUMBER(F127)),F127-E127,"")</f>
        <v/>
      </c>
      <c r="N127" s="12" t="str">
        <f aca="false">IF(AND(ISNUMBER(C127),ISNUMBER(F127)),F127-C127,"")</f>
        <v/>
      </c>
    </row>
    <row r="128" customFormat="false" ht="15" hidden="false" customHeight="true" outlineLevel="0" collapsed="false">
      <c r="A128" s="10"/>
      <c r="B128" s="10"/>
      <c r="C128" s="11"/>
      <c r="D128" s="11"/>
      <c r="E128" s="11"/>
      <c r="F128" s="11"/>
      <c r="G128" s="10"/>
      <c r="H128" s="10"/>
      <c r="I128" s="10"/>
      <c r="J128" s="10"/>
      <c r="K128" s="12" t="str">
        <f aca="false">IF(AND(ISNUMBER(C128),ISNUMBER(D128)),D128-C128,"")</f>
        <v/>
      </c>
      <c r="L128" s="12" t="str">
        <f aca="false">IF(AND(ISNUMBER(D128),ISNUMBER(E128)),E128-D128,"")</f>
        <v/>
      </c>
      <c r="M128" s="12" t="str">
        <f aca="false">IF(AND(ISNUMBER(E128),ISNUMBER(F128)),F128-E128,"")</f>
        <v/>
      </c>
      <c r="N128" s="12" t="str">
        <f aca="false">IF(AND(ISNUMBER(C128),ISNUMBER(F128)),F128-C128,"")</f>
        <v/>
      </c>
    </row>
    <row r="129" customFormat="false" ht="15" hidden="false" customHeight="true" outlineLevel="0" collapsed="false">
      <c r="A129" s="10"/>
      <c r="B129" s="10"/>
      <c r="C129" s="11"/>
      <c r="D129" s="11"/>
      <c r="E129" s="11"/>
      <c r="F129" s="11"/>
      <c r="G129" s="10"/>
      <c r="H129" s="10"/>
      <c r="I129" s="10"/>
      <c r="J129" s="10"/>
      <c r="K129" s="12" t="str">
        <f aca="false">IF(AND(ISNUMBER(C129),ISNUMBER(D129)),D129-C129,"")</f>
        <v/>
      </c>
      <c r="L129" s="12" t="str">
        <f aca="false">IF(AND(ISNUMBER(D129),ISNUMBER(E129)),E129-D129,"")</f>
        <v/>
      </c>
      <c r="M129" s="12" t="str">
        <f aca="false">IF(AND(ISNUMBER(E129),ISNUMBER(F129)),F129-E129,"")</f>
        <v/>
      </c>
      <c r="N129" s="12" t="str">
        <f aca="false">IF(AND(ISNUMBER(C129),ISNUMBER(F129)),F129-C129,"")</f>
        <v/>
      </c>
    </row>
    <row r="130" customFormat="false" ht="15" hidden="false" customHeight="true" outlineLevel="0" collapsed="false">
      <c r="A130" s="10"/>
      <c r="B130" s="10"/>
      <c r="C130" s="11"/>
      <c r="D130" s="11"/>
      <c r="E130" s="11"/>
      <c r="F130" s="11"/>
      <c r="G130" s="10"/>
      <c r="H130" s="10"/>
      <c r="I130" s="10"/>
      <c r="J130" s="10"/>
      <c r="K130" s="12" t="str">
        <f aca="false">IF(AND(ISNUMBER(C130),ISNUMBER(D130)),D130-C130,"")</f>
        <v/>
      </c>
      <c r="L130" s="12" t="str">
        <f aca="false">IF(AND(ISNUMBER(D130),ISNUMBER(E130)),E130-D130,"")</f>
        <v/>
      </c>
      <c r="M130" s="12" t="str">
        <f aca="false">IF(AND(ISNUMBER(E130),ISNUMBER(F130)),F130-E130,"")</f>
        <v/>
      </c>
      <c r="N130" s="12" t="str">
        <f aca="false">IF(AND(ISNUMBER(C130),ISNUMBER(F130)),F130-C130,"")</f>
        <v/>
      </c>
    </row>
    <row r="131" customFormat="false" ht="15" hidden="false" customHeight="true" outlineLevel="0" collapsed="false">
      <c r="A131" s="10"/>
      <c r="B131" s="10"/>
      <c r="C131" s="11"/>
      <c r="D131" s="11"/>
      <c r="E131" s="11"/>
      <c r="F131" s="11"/>
      <c r="G131" s="10"/>
      <c r="H131" s="10"/>
      <c r="I131" s="10"/>
      <c r="J131" s="10"/>
      <c r="K131" s="12" t="str">
        <f aca="false">IF(AND(ISNUMBER(C131),ISNUMBER(D131)),D131-C131,"")</f>
        <v/>
      </c>
      <c r="L131" s="12" t="str">
        <f aca="false">IF(AND(ISNUMBER(D131),ISNUMBER(E131)),E131-D131,"")</f>
        <v/>
      </c>
      <c r="M131" s="12" t="str">
        <f aca="false">IF(AND(ISNUMBER(E131),ISNUMBER(F131)),F131-E131,"")</f>
        <v/>
      </c>
      <c r="N131" s="12" t="str">
        <f aca="false">IF(AND(ISNUMBER(C131),ISNUMBER(F131)),F131-C131,"")</f>
        <v/>
      </c>
    </row>
    <row r="132" customFormat="false" ht="15" hidden="false" customHeight="true" outlineLevel="0" collapsed="false">
      <c r="A132" s="10"/>
      <c r="B132" s="10"/>
      <c r="C132" s="11"/>
      <c r="D132" s="11"/>
      <c r="E132" s="11"/>
      <c r="F132" s="11"/>
      <c r="G132" s="10"/>
      <c r="H132" s="10"/>
      <c r="I132" s="10"/>
      <c r="J132" s="10"/>
      <c r="K132" s="12" t="str">
        <f aca="false">IF(AND(ISNUMBER(C132),ISNUMBER(D132)),D132-C132,"")</f>
        <v/>
      </c>
      <c r="L132" s="12" t="str">
        <f aca="false">IF(AND(ISNUMBER(D132),ISNUMBER(E132)),E132-D132,"")</f>
        <v/>
      </c>
      <c r="M132" s="12" t="str">
        <f aca="false">IF(AND(ISNUMBER(E132),ISNUMBER(F132)),F132-E132,"")</f>
        <v/>
      </c>
      <c r="N132" s="12" t="str">
        <f aca="false">IF(AND(ISNUMBER(C132),ISNUMBER(F132)),F132-C132,"")</f>
        <v/>
      </c>
    </row>
    <row r="133" customFormat="false" ht="15" hidden="false" customHeight="true" outlineLevel="0" collapsed="false">
      <c r="A133" s="10"/>
      <c r="B133" s="10"/>
      <c r="C133" s="11"/>
      <c r="D133" s="11"/>
      <c r="E133" s="11"/>
      <c r="F133" s="11"/>
      <c r="G133" s="10"/>
      <c r="H133" s="10"/>
      <c r="I133" s="10"/>
      <c r="J133" s="10"/>
      <c r="K133" s="12" t="str">
        <f aca="false">IF(AND(ISNUMBER(C133),ISNUMBER(D133)),D133-C133,"")</f>
        <v/>
      </c>
      <c r="L133" s="12" t="str">
        <f aca="false">IF(AND(ISNUMBER(D133),ISNUMBER(E133)),E133-D133,"")</f>
        <v/>
      </c>
      <c r="M133" s="12" t="str">
        <f aca="false">IF(AND(ISNUMBER(E133),ISNUMBER(F133)),F133-E133,"")</f>
        <v/>
      </c>
      <c r="N133" s="12" t="str">
        <f aca="false">IF(AND(ISNUMBER(C133),ISNUMBER(F133)),F133-C133,"")</f>
        <v/>
      </c>
    </row>
    <row r="134" customFormat="false" ht="15" hidden="false" customHeight="true" outlineLevel="0" collapsed="false">
      <c r="A134" s="10"/>
      <c r="B134" s="10"/>
      <c r="C134" s="11"/>
      <c r="D134" s="11"/>
      <c r="E134" s="11"/>
      <c r="F134" s="11"/>
      <c r="G134" s="10"/>
      <c r="H134" s="10"/>
      <c r="I134" s="10"/>
      <c r="J134" s="10"/>
      <c r="K134" s="12" t="str">
        <f aca="false">IF(AND(ISNUMBER(C134),ISNUMBER(D134)),D134-C134,"")</f>
        <v/>
      </c>
      <c r="L134" s="12" t="str">
        <f aca="false">IF(AND(ISNUMBER(D134),ISNUMBER(E134)),E134-D134,"")</f>
        <v/>
      </c>
      <c r="M134" s="12" t="str">
        <f aca="false">IF(AND(ISNUMBER(E134),ISNUMBER(F134)),F134-E134,"")</f>
        <v/>
      </c>
      <c r="N134" s="12" t="str">
        <f aca="false">IF(AND(ISNUMBER(C134),ISNUMBER(F134)),F134-C134,"")</f>
        <v/>
      </c>
    </row>
    <row r="135" customFormat="false" ht="15" hidden="false" customHeight="true" outlineLevel="0" collapsed="false">
      <c r="A135" s="10"/>
      <c r="B135" s="10"/>
      <c r="C135" s="11"/>
      <c r="D135" s="11"/>
      <c r="E135" s="11"/>
      <c r="F135" s="11"/>
      <c r="G135" s="10"/>
      <c r="H135" s="10"/>
      <c r="I135" s="10"/>
      <c r="J135" s="10"/>
      <c r="K135" s="12" t="str">
        <f aca="false">IF(AND(ISNUMBER(C135),ISNUMBER(D135)),D135-C135,"")</f>
        <v/>
      </c>
      <c r="L135" s="12" t="str">
        <f aca="false">IF(AND(ISNUMBER(D135),ISNUMBER(E135)),E135-D135,"")</f>
        <v/>
      </c>
      <c r="M135" s="12" t="str">
        <f aca="false">IF(AND(ISNUMBER(E135),ISNUMBER(F135)),F135-E135,"")</f>
        <v/>
      </c>
      <c r="N135" s="12" t="str">
        <f aca="false">IF(AND(ISNUMBER(C135),ISNUMBER(F135)),F135-C135,"")</f>
        <v/>
      </c>
    </row>
    <row r="136" customFormat="false" ht="15" hidden="false" customHeight="true" outlineLevel="0" collapsed="false">
      <c r="A136" s="10"/>
      <c r="B136" s="10"/>
      <c r="C136" s="11"/>
      <c r="D136" s="11"/>
      <c r="E136" s="11"/>
      <c r="F136" s="11"/>
      <c r="G136" s="10"/>
      <c r="H136" s="10"/>
      <c r="I136" s="10"/>
      <c r="J136" s="10"/>
      <c r="K136" s="12" t="str">
        <f aca="false">IF(AND(ISNUMBER(C136),ISNUMBER(D136)),D136-C136,"")</f>
        <v/>
      </c>
      <c r="L136" s="12" t="str">
        <f aca="false">IF(AND(ISNUMBER(D136),ISNUMBER(E136)),E136-D136,"")</f>
        <v/>
      </c>
      <c r="M136" s="12" t="str">
        <f aca="false">IF(AND(ISNUMBER(E136),ISNUMBER(F136)),F136-E136,"")</f>
        <v/>
      </c>
      <c r="N136" s="12" t="str">
        <f aca="false">IF(AND(ISNUMBER(C136),ISNUMBER(F136)),F136-C136,"")</f>
        <v/>
      </c>
    </row>
    <row r="137" customFormat="false" ht="15" hidden="false" customHeight="true" outlineLevel="0" collapsed="false">
      <c r="A137" s="10"/>
      <c r="B137" s="10"/>
      <c r="C137" s="11"/>
      <c r="D137" s="11"/>
      <c r="E137" s="11"/>
      <c r="F137" s="11"/>
      <c r="G137" s="10"/>
      <c r="H137" s="10"/>
      <c r="I137" s="10"/>
      <c r="J137" s="10"/>
      <c r="K137" s="12" t="str">
        <f aca="false">IF(AND(ISNUMBER(C137),ISNUMBER(D137)),D137-C137,"")</f>
        <v/>
      </c>
      <c r="L137" s="12" t="str">
        <f aca="false">IF(AND(ISNUMBER(D137),ISNUMBER(E137)),E137-D137,"")</f>
        <v/>
      </c>
      <c r="M137" s="12" t="str">
        <f aca="false">IF(AND(ISNUMBER(E137),ISNUMBER(F137)),F137-E137,"")</f>
        <v/>
      </c>
      <c r="N137" s="12" t="str">
        <f aca="false">IF(AND(ISNUMBER(C137),ISNUMBER(F137)),F137-C137,"")</f>
        <v/>
      </c>
    </row>
    <row r="138" customFormat="false" ht="15" hidden="false" customHeight="true" outlineLevel="0" collapsed="false">
      <c r="A138" s="10"/>
      <c r="B138" s="10"/>
      <c r="C138" s="11"/>
      <c r="D138" s="11"/>
      <c r="E138" s="11"/>
      <c r="F138" s="11"/>
      <c r="G138" s="10"/>
      <c r="H138" s="10"/>
      <c r="I138" s="10"/>
      <c r="J138" s="10"/>
      <c r="K138" s="12" t="str">
        <f aca="false">IF(AND(ISNUMBER(C138),ISNUMBER(D138)),D138-C138,"")</f>
        <v/>
      </c>
      <c r="L138" s="12" t="str">
        <f aca="false">IF(AND(ISNUMBER(D138),ISNUMBER(E138)),E138-D138,"")</f>
        <v/>
      </c>
      <c r="M138" s="12" t="str">
        <f aca="false">IF(AND(ISNUMBER(E138),ISNUMBER(F138)),F138-E138,"")</f>
        <v/>
      </c>
      <c r="N138" s="12" t="str">
        <f aca="false">IF(AND(ISNUMBER(C138),ISNUMBER(F138)),F138-C138,"")</f>
        <v/>
      </c>
    </row>
    <row r="139" customFormat="false" ht="15" hidden="false" customHeight="true" outlineLevel="0" collapsed="false">
      <c r="A139" s="10"/>
      <c r="B139" s="10"/>
      <c r="C139" s="11"/>
      <c r="D139" s="11"/>
      <c r="E139" s="11"/>
      <c r="F139" s="11"/>
      <c r="G139" s="10"/>
      <c r="H139" s="10"/>
      <c r="I139" s="10"/>
      <c r="J139" s="10"/>
      <c r="K139" s="12" t="str">
        <f aca="false">IF(AND(ISNUMBER(C139),ISNUMBER(D139)),D139-C139,"")</f>
        <v/>
      </c>
      <c r="L139" s="12" t="str">
        <f aca="false">IF(AND(ISNUMBER(D139),ISNUMBER(E139)),E139-D139,"")</f>
        <v/>
      </c>
      <c r="M139" s="12" t="str">
        <f aca="false">IF(AND(ISNUMBER(E139),ISNUMBER(F139)),F139-E139,"")</f>
        <v/>
      </c>
      <c r="N139" s="12" t="str">
        <f aca="false">IF(AND(ISNUMBER(C139),ISNUMBER(F139)),F139-C139,"")</f>
        <v/>
      </c>
    </row>
    <row r="140" customFormat="false" ht="15" hidden="false" customHeight="true" outlineLevel="0" collapsed="false">
      <c r="A140" s="10"/>
      <c r="B140" s="10"/>
      <c r="C140" s="11"/>
      <c r="D140" s="11"/>
      <c r="E140" s="11"/>
      <c r="F140" s="11"/>
      <c r="G140" s="10"/>
      <c r="H140" s="10"/>
      <c r="I140" s="10"/>
      <c r="J140" s="10"/>
      <c r="K140" s="12" t="str">
        <f aca="false">IF(AND(ISNUMBER(C140),ISNUMBER(D140)),D140-C140,"")</f>
        <v/>
      </c>
      <c r="L140" s="12" t="str">
        <f aca="false">IF(AND(ISNUMBER(D140),ISNUMBER(E140)),E140-D140,"")</f>
        <v/>
      </c>
      <c r="M140" s="12" t="str">
        <f aca="false">IF(AND(ISNUMBER(E140),ISNUMBER(F140)),F140-E140,"")</f>
        <v/>
      </c>
      <c r="N140" s="12" t="str">
        <f aca="false">IF(AND(ISNUMBER(C140),ISNUMBER(F140)),F140-C140,"")</f>
        <v/>
      </c>
    </row>
    <row r="141" customFormat="false" ht="15" hidden="false" customHeight="true" outlineLevel="0" collapsed="false">
      <c r="A141" s="10"/>
      <c r="B141" s="10"/>
      <c r="C141" s="11"/>
      <c r="D141" s="11"/>
      <c r="E141" s="11"/>
      <c r="F141" s="11"/>
      <c r="G141" s="10"/>
      <c r="H141" s="10"/>
      <c r="I141" s="10"/>
      <c r="J141" s="10"/>
      <c r="K141" s="12" t="str">
        <f aca="false">IF(AND(ISNUMBER(C141),ISNUMBER(D141)),D141-C141,"")</f>
        <v/>
      </c>
      <c r="L141" s="12" t="str">
        <f aca="false">IF(AND(ISNUMBER(D141),ISNUMBER(E141)),E141-D141,"")</f>
        <v/>
      </c>
      <c r="M141" s="12" t="str">
        <f aca="false">IF(AND(ISNUMBER(E141),ISNUMBER(F141)),F141-E141,"")</f>
        <v/>
      </c>
      <c r="N141" s="12" t="str">
        <f aca="false">IF(AND(ISNUMBER(C141),ISNUMBER(F141)),F141-C141,"")</f>
        <v/>
      </c>
    </row>
    <row r="142" customFormat="false" ht="15" hidden="false" customHeight="true" outlineLevel="0" collapsed="false">
      <c r="A142" s="10"/>
      <c r="B142" s="10"/>
      <c r="C142" s="11"/>
      <c r="D142" s="11"/>
      <c r="E142" s="11"/>
      <c r="F142" s="11"/>
      <c r="G142" s="10"/>
      <c r="H142" s="10"/>
      <c r="I142" s="10"/>
      <c r="J142" s="10"/>
      <c r="K142" s="12" t="str">
        <f aca="false">IF(AND(ISNUMBER(C142),ISNUMBER(D142)),D142-C142,"")</f>
        <v/>
      </c>
      <c r="L142" s="12" t="str">
        <f aca="false">IF(AND(ISNUMBER(D142),ISNUMBER(E142)),E142-D142,"")</f>
        <v/>
      </c>
      <c r="M142" s="12" t="str">
        <f aca="false">IF(AND(ISNUMBER(E142),ISNUMBER(F142)),F142-E142,"")</f>
        <v/>
      </c>
      <c r="N142" s="12" t="str">
        <f aca="false">IF(AND(ISNUMBER(C142),ISNUMBER(F142)),F142-C142,"")</f>
        <v/>
      </c>
    </row>
    <row r="143" customFormat="false" ht="15" hidden="false" customHeight="true" outlineLevel="0" collapsed="false">
      <c r="A143" s="10"/>
      <c r="B143" s="10"/>
      <c r="C143" s="11"/>
      <c r="D143" s="11"/>
      <c r="E143" s="11"/>
      <c r="F143" s="11"/>
      <c r="G143" s="10"/>
      <c r="H143" s="10"/>
      <c r="I143" s="10"/>
      <c r="J143" s="10"/>
      <c r="K143" s="12" t="str">
        <f aca="false">IF(AND(ISNUMBER(C143),ISNUMBER(D143)),D143-C143,"")</f>
        <v/>
      </c>
      <c r="L143" s="12" t="str">
        <f aca="false">IF(AND(ISNUMBER(D143),ISNUMBER(E143)),E143-D143,"")</f>
        <v/>
      </c>
      <c r="M143" s="12" t="str">
        <f aca="false">IF(AND(ISNUMBER(E143),ISNUMBER(F143)),F143-E143,"")</f>
        <v/>
      </c>
      <c r="N143" s="12" t="str">
        <f aca="false">IF(AND(ISNUMBER(C143),ISNUMBER(F143)),F143-C143,"")</f>
        <v/>
      </c>
    </row>
    <row r="144" customFormat="false" ht="15" hidden="false" customHeight="true" outlineLevel="0" collapsed="false">
      <c r="A144" s="10"/>
      <c r="B144" s="10"/>
      <c r="C144" s="11"/>
      <c r="D144" s="11"/>
      <c r="E144" s="11"/>
      <c r="F144" s="11"/>
      <c r="G144" s="10"/>
      <c r="H144" s="10"/>
      <c r="I144" s="10"/>
      <c r="J144" s="10"/>
      <c r="K144" s="12" t="str">
        <f aca="false">IF(AND(ISNUMBER(C144),ISNUMBER(D144)),D144-C144,"")</f>
        <v/>
      </c>
      <c r="L144" s="12" t="str">
        <f aca="false">IF(AND(ISNUMBER(D144),ISNUMBER(E144)),E144-D144,"")</f>
        <v/>
      </c>
      <c r="M144" s="12" t="str">
        <f aca="false">IF(AND(ISNUMBER(E144),ISNUMBER(F144)),F144-E144,"")</f>
        <v/>
      </c>
      <c r="N144" s="12" t="str">
        <f aca="false">IF(AND(ISNUMBER(C144),ISNUMBER(F144)),F144-C144,"")</f>
        <v/>
      </c>
    </row>
    <row r="145" customFormat="false" ht="15" hidden="false" customHeight="true" outlineLevel="0" collapsed="false">
      <c r="A145" s="10"/>
      <c r="B145" s="10"/>
      <c r="C145" s="11"/>
      <c r="D145" s="11"/>
      <c r="E145" s="11"/>
      <c r="F145" s="11"/>
      <c r="G145" s="10"/>
      <c r="H145" s="10"/>
      <c r="I145" s="10"/>
      <c r="J145" s="10"/>
      <c r="K145" s="12" t="str">
        <f aca="false">IF(AND(ISNUMBER(C145),ISNUMBER(D145)),D145-C145,"")</f>
        <v/>
      </c>
      <c r="L145" s="12" t="str">
        <f aca="false">IF(AND(ISNUMBER(D145),ISNUMBER(E145)),E145-D145,"")</f>
        <v/>
      </c>
      <c r="M145" s="12" t="str">
        <f aca="false">IF(AND(ISNUMBER(E145),ISNUMBER(F145)),F145-E145,"")</f>
        <v/>
      </c>
      <c r="N145" s="12" t="str">
        <f aca="false">IF(AND(ISNUMBER(C145),ISNUMBER(F145)),F145-C145,"")</f>
        <v/>
      </c>
    </row>
    <row r="146" customFormat="false" ht="15" hidden="false" customHeight="true" outlineLevel="0" collapsed="false">
      <c r="A146" s="10"/>
      <c r="B146" s="10"/>
      <c r="C146" s="11"/>
      <c r="D146" s="11"/>
      <c r="E146" s="11"/>
      <c r="F146" s="11"/>
      <c r="G146" s="10"/>
      <c r="H146" s="10"/>
      <c r="I146" s="10"/>
      <c r="J146" s="10"/>
      <c r="K146" s="12" t="str">
        <f aca="false">IF(AND(ISNUMBER(C146),ISNUMBER(D146)),D146-C146,"")</f>
        <v/>
      </c>
      <c r="L146" s="12" t="str">
        <f aca="false">IF(AND(ISNUMBER(D146),ISNUMBER(E146)),E146-D146,"")</f>
        <v/>
      </c>
      <c r="M146" s="12" t="str">
        <f aca="false">IF(AND(ISNUMBER(E146),ISNUMBER(F146)),F146-E146,"")</f>
        <v/>
      </c>
      <c r="N146" s="12" t="str">
        <f aca="false">IF(AND(ISNUMBER(C146),ISNUMBER(F146)),F146-C146,"")</f>
        <v/>
      </c>
    </row>
    <row r="147" customFormat="false" ht="15" hidden="false" customHeight="true" outlineLevel="0" collapsed="false">
      <c r="A147" s="10"/>
      <c r="B147" s="10"/>
      <c r="C147" s="11"/>
      <c r="D147" s="11"/>
      <c r="E147" s="11"/>
      <c r="F147" s="11"/>
      <c r="G147" s="10"/>
      <c r="H147" s="10"/>
      <c r="I147" s="10"/>
      <c r="J147" s="10"/>
      <c r="K147" s="12" t="str">
        <f aca="false">IF(AND(ISNUMBER(C147),ISNUMBER(D147)),D147-C147,"")</f>
        <v/>
      </c>
      <c r="L147" s="12" t="str">
        <f aca="false">IF(AND(ISNUMBER(D147),ISNUMBER(E147)),E147-D147,"")</f>
        <v/>
      </c>
      <c r="M147" s="12" t="str">
        <f aca="false">IF(AND(ISNUMBER(E147),ISNUMBER(F147)),F147-E147,"")</f>
        <v/>
      </c>
      <c r="N147" s="12" t="str">
        <f aca="false">IF(AND(ISNUMBER(C147),ISNUMBER(F147)),F147-C147,"")</f>
        <v/>
      </c>
    </row>
    <row r="148" customFormat="false" ht="15" hidden="false" customHeight="true" outlineLevel="0" collapsed="false">
      <c r="A148" s="10"/>
      <c r="B148" s="10"/>
      <c r="C148" s="11"/>
      <c r="D148" s="11"/>
      <c r="E148" s="11"/>
      <c r="F148" s="11"/>
      <c r="G148" s="10"/>
      <c r="H148" s="10"/>
      <c r="I148" s="10"/>
      <c r="J148" s="10"/>
      <c r="K148" s="12" t="str">
        <f aca="false">IF(AND(ISNUMBER(C148),ISNUMBER(D148)),D148-C148,"")</f>
        <v/>
      </c>
      <c r="L148" s="12" t="str">
        <f aca="false">IF(AND(ISNUMBER(D148),ISNUMBER(E148)),E148-D148,"")</f>
        <v/>
      </c>
      <c r="M148" s="12" t="str">
        <f aca="false">IF(AND(ISNUMBER(E148),ISNUMBER(F148)),F148-E148,"")</f>
        <v/>
      </c>
      <c r="N148" s="12" t="str">
        <f aca="false">IF(AND(ISNUMBER(C148),ISNUMBER(F148)),F148-C148,"")</f>
        <v/>
      </c>
    </row>
    <row r="149" customFormat="false" ht="15" hidden="false" customHeight="true" outlineLevel="0" collapsed="false">
      <c r="A149" s="10"/>
      <c r="B149" s="10"/>
      <c r="C149" s="11"/>
      <c r="D149" s="11"/>
      <c r="E149" s="11"/>
      <c r="F149" s="11"/>
      <c r="G149" s="10"/>
      <c r="H149" s="10"/>
      <c r="I149" s="10"/>
      <c r="J149" s="10"/>
      <c r="K149" s="12" t="str">
        <f aca="false">IF(AND(ISNUMBER(C149),ISNUMBER(D149)),D149-C149,"")</f>
        <v/>
      </c>
      <c r="L149" s="12" t="str">
        <f aca="false">IF(AND(ISNUMBER(D149),ISNUMBER(E149)),E149-D149,"")</f>
        <v/>
      </c>
      <c r="M149" s="12" t="str">
        <f aca="false">IF(AND(ISNUMBER(E149),ISNUMBER(F149)),F149-E149,"")</f>
        <v/>
      </c>
      <c r="N149" s="12" t="str">
        <f aca="false">IF(AND(ISNUMBER(C149),ISNUMBER(F149)),F149-C149,"")</f>
        <v/>
      </c>
    </row>
    <row r="150" customFormat="false" ht="15" hidden="false" customHeight="true" outlineLevel="0" collapsed="false">
      <c r="A150" s="10"/>
      <c r="B150" s="10"/>
      <c r="C150" s="11"/>
      <c r="D150" s="11"/>
      <c r="E150" s="11"/>
      <c r="F150" s="11"/>
      <c r="G150" s="10"/>
      <c r="H150" s="10"/>
      <c r="I150" s="10"/>
      <c r="J150" s="10"/>
      <c r="K150" s="12" t="str">
        <f aca="false">IF(AND(ISNUMBER(C150),ISNUMBER(D150)),D150-C150,"")</f>
        <v/>
      </c>
      <c r="L150" s="12" t="str">
        <f aca="false">IF(AND(ISNUMBER(D150),ISNUMBER(E150)),E150-D150,"")</f>
        <v/>
      </c>
      <c r="M150" s="12" t="str">
        <f aca="false">IF(AND(ISNUMBER(E150),ISNUMBER(F150)),F150-E150,"")</f>
        <v/>
      </c>
      <c r="N150" s="12" t="str">
        <f aca="false">IF(AND(ISNUMBER(C150),ISNUMBER(F150)),F150-C150,"")</f>
        <v/>
      </c>
    </row>
    <row r="151" customFormat="false" ht="15" hidden="false" customHeight="true" outlineLevel="0" collapsed="false">
      <c r="A151" s="10"/>
      <c r="B151" s="10"/>
      <c r="C151" s="11"/>
      <c r="D151" s="11"/>
      <c r="E151" s="11"/>
      <c r="F151" s="11"/>
      <c r="G151" s="10"/>
      <c r="H151" s="10"/>
      <c r="I151" s="10"/>
      <c r="J151" s="10"/>
      <c r="K151" s="12" t="str">
        <f aca="false">IF(AND(ISNUMBER(C151),ISNUMBER(D151)),D151-C151,"")</f>
        <v/>
      </c>
      <c r="L151" s="12" t="str">
        <f aca="false">IF(AND(ISNUMBER(D151),ISNUMBER(E151)),E151-D151,"")</f>
        <v/>
      </c>
      <c r="M151" s="12" t="str">
        <f aca="false">IF(AND(ISNUMBER(E151),ISNUMBER(F151)),F151-E151,"")</f>
        <v/>
      </c>
      <c r="N151" s="12" t="str">
        <f aca="false">IF(AND(ISNUMBER(C151),ISNUMBER(F151)),F151-C151,"")</f>
        <v/>
      </c>
    </row>
  </sheetData>
  <dataValidations count="4">
    <dataValidation allowBlank="true" errorStyle="stop" operator="between" showDropDown="false" showErrorMessage="false" showInputMessage="false" sqref="G2:G151" type="list">
      <formula1>רשימות!$A$2:$A$3</formula1>
      <formula2>0</formula2>
    </dataValidation>
    <dataValidation allowBlank="true" errorStyle="stop" operator="between" showDropDown="false" showErrorMessage="false" showInputMessage="false" sqref="H2:H151" type="list">
      <formula1>רשימות!$B$2:$B$4</formula1>
      <formula2>0</formula2>
    </dataValidation>
    <dataValidation allowBlank="true" errorStyle="stop" operator="between" showDropDown="false" showErrorMessage="false" showInputMessage="false" sqref="I2:I151" type="list">
      <formula1>רשימות!$C$2:$C$10</formula1>
      <formula2>0</formula2>
    </dataValidation>
    <dataValidation allowBlank="true" error="יש להזין תאריך תקין" errorStyle="stop" operator="greaterThan" showDropDown="false" showErrorMessage="false" showInputMessage="false" sqref="C2:F15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6" min="4" style="1" width="16"/>
  </cols>
  <sheetData>
    <row r="1" customFormat="false" ht="16.5" hidden="false" customHeight="true" outlineLevel="0" collapsed="false">
      <c r="A1" s="2" t="s">
        <v>64</v>
      </c>
    </row>
    <row r="3" customFormat="false" ht="15" hidden="false" customHeight="true" outlineLevel="0" collapsed="false">
      <c r="A3" s="5" t="s">
        <v>65</v>
      </c>
      <c r="B3" s="5" t="s">
        <v>66</v>
      </c>
      <c r="C3" s="5" t="s">
        <v>67</v>
      </c>
      <c r="D3" s="5" t="s">
        <v>68</v>
      </c>
      <c r="E3" s="5" t="s">
        <v>69</v>
      </c>
      <c r="F3" s="5" t="s">
        <v>70</v>
      </c>
    </row>
    <row r="4" customFormat="false" ht="15" hidden="false" customHeight="true" outlineLevel="0" collapsed="false">
      <c r="A4" s="6" t="s">
        <v>71</v>
      </c>
      <c r="B4" s="6" t="n">
        <f aca="false">COUNT(נתונים!K2:K151)</f>
        <v>80</v>
      </c>
      <c r="C4" s="13" t="n">
        <f aca="false">IF(COUNT(נתונים!K2:K151)=0,"",MEDIAN(נתונים!K2:K151))</f>
        <v>32</v>
      </c>
      <c r="D4" s="13" t="n">
        <f aca="false">IF(COUNT(נתונים!K2:K151)=0,"",AVERAGE(נתונים!K2:K151))</f>
        <v>35.3</v>
      </c>
      <c r="E4" s="13" t="n">
        <f aca="false">IF(COUNT(נתונים!K2:K151)=0,"",MIN(נתונים!K2:K151))</f>
        <v>11</v>
      </c>
      <c r="F4" s="13" t="n">
        <f aca="false">IF(COUNT(נתונים!K2:K151)=0,"",MAX(נתונים!K2:K151))</f>
        <v>90</v>
      </c>
    </row>
    <row r="5" customFormat="false" ht="15" hidden="false" customHeight="true" outlineLevel="0" collapsed="false">
      <c r="A5" s="6" t="s">
        <v>72</v>
      </c>
      <c r="B5" s="6" t="n">
        <f aca="false">COUNT(נתונים!L2:L151)</f>
        <v>78</v>
      </c>
      <c r="C5" s="13" t="n">
        <f aca="false">IF(COUNT(נתונים!L2:L151)=0,"",MEDIAN(נתונים!L2:L151))</f>
        <v>18.5</v>
      </c>
      <c r="D5" s="13" t="n">
        <f aca="false">IF(COUNT(נתונים!L2:L151)=0,"",AVERAGE(נתונים!L2:L151))</f>
        <v>21.2948717948718</v>
      </c>
      <c r="E5" s="13" t="n">
        <f aca="false">IF(COUNT(נתונים!L2:L151)=0,"",MIN(נתונים!L2:L151))</f>
        <v>5</v>
      </c>
      <c r="F5" s="13" t="n">
        <f aca="false">IF(COUNT(נתונים!L2:L151)=0,"",MAX(נתונים!L2:L151))</f>
        <v>80</v>
      </c>
    </row>
    <row r="6" customFormat="false" ht="15" hidden="false" customHeight="true" outlineLevel="0" collapsed="false">
      <c r="A6" s="6" t="s">
        <v>73</v>
      </c>
      <c r="B6" s="6" t="n">
        <f aca="false">COUNT(נתונים!M2:M151)</f>
        <v>82</v>
      </c>
      <c r="C6" s="13" t="n">
        <f aca="false">IF(COUNT(נתונים!M2:M151)=0,"",MEDIAN(נתונים!M2:M151))</f>
        <v>68.5</v>
      </c>
      <c r="D6" s="13" t="n">
        <f aca="false">IF(COUNT(נתונים!M2:M151)=0,"",AVERAGE(נתונים!M2:M151))</f>
        <v>72.4634146341464</v>
      </c>
      <c r="E6" s="13" t="n">
        <f aca="false">IF(COUNT(נתונים!M2:M151)=0,"",MIN(נתונים!M2:M151))</f>
        <v>12</v>
      </c>
      <c r="F6" s="13" t="n">
        <f aca="false">IF(COUNT(נתונים!M2:M151)=0,"",MAX(נתונים!M2:M151))</f>
        <v>188</v>
      </c>
    </row>
    <row r="7" customFormat="false" ht="15" hidden="false" customHeight="true" outlineLevel="0" collapsed="false">
      <c r="A7" s="14" t="s">
        <v>74</v>
      </c>
      <c r="B7" s="14" t="n">
        <f aca="false">COUNT(נתונים!N2:N151)</f>
        <v>84</v>
      </c>
      <c r="C7" s="15" t="n">
        <f aca="false">IF(COUNT(נתונים!N2:N151)=0,"",MEDIAN(נתונים!N2:N151))</f>
        <v>129</v>
      </c>
      <c r="D7" s="15" t="n">
        <f aca="false">IF(COUNT(נתונים!N2:N151)=0,"",AVERAGE(נתונים!N2:N151))</f>
        <v>128.321428571429</v>
      </c>
      <c r="E7" s="15" t="n">
        <f aca="false">IF(COUNT(נתונים!N2:N151)=0,"",MIN(נתונים!N2:N151))</f>
        <v>32</v>
      </c>
      <c r="F7" s="15" t="n">
        <f aca="false">IF(COUNT(נתונים!N2:N151)=0,"",MAX(נתונים!N2:N151))</f>
        <v>277</v>
      </c>
    </row>
    <row r="10" customFormat="false" ht="15" hidden="false" customHeight="true" outlineLevel="0" collapsed="false">
      <c r="A10" s="16" t="s">
        <v>16</v>
      </c>
    </row>
    <row r="11" customFormat="false" ht="26.25" hidden="false" customHeight="true" outlineLevel="0" collapsed="false">
      <c r="A11" s="5" t="s">
        <v>75</v>
      </c>
      <c r="B11" s="5" t="s">
        <v>76</v>
      </c>
      <c r="C11" s="5" t="s">
        <v>77</v>
      </c>
    </row>
    <row r="12" customFormat="false" ht="15" hidden="false" customHeight="true" outlineLevel="0" collapsed="false">
      <c r="A12" s="17" t="s">
        <v>19</v>
      </c>
      <c r="B12" s="17" t="n">
        <f aca="false">COUNTIF(נתונים!$H$2:$H$151,A12)</f>
        <v>26</v>
      </c>
      <c r="C12" s="18" t="n">
        <f aca="false">IF(SUM($B$12:$B$13)=0,"",B12/SUM($B$12:$B$13))</f>
        <v>0.371428571428571</v>
      </c>
    </row>
    <row r="13" customFormat="false" ht="15" hidden="false" customHeight="true" outlineLevel="0" collapsed="false">
      <c r="A13" s="17" t="s">
        <v>29</v>
      </c>
      <c r="B13" s="17" t="n">
        <f aca="false">COUNTIF(נתונים!$H$2:$H$151,A13)</f>
        <v>44</v>
      </c>
      <c r="C13" s="18" t="n">
        <f aca="false">IF(SUM($B$12:$B$13)=0,"",B13/SUM($B$12:$B$13))</f>
        <v>0.628571428571429</v>
      </c>
    </row>
    <row r="14" customFormat="false" ht="15" hidden="false" customHeight="true" outlineLevel="0" collapsed="false">
      <c r="A14" s="17" t="s">
        <v>34</v>
      </c>
      <c r="B14" s="17" t="n">
        <f aca="false">COUNTIF(נתונים!$H$2:$H$151,A14)</f>
        <v>14</v>
      </c>
      <c r="C14" s="18" t="s">
        <v>78</v>
      </c>
    </row>
    <row r="17" customFormat="false" ht="15" hidden="false" customHeight="true" outlineLevel="0" collapsed="false">
      <c r="A17" s="16" t="s">
        <v>79</v>
      </c>
    </row>
    <row r="18" customFormat="false" ht="15" hidden="false" customHeight="true" outlineLevel="0" collapsed="false">
      <c r="A18" s="5" t="s">
        <v>80</v>
      </c>
      <c r="B18" s="5" t="s">
        <v>76</v>
      </c>
      <c r="C18" s="5" t="s">
        <v>81</v>
      </c>
    </row>
    <row r="19" customFormat="false" ht="15" hidden="false" customHeight="true" outlineLevel="0" collapsed="false">
      <c r="A19" s="17" t="s">
        <v>20</v>
      </c>
      <c r="B19" s="17" t="n">
        <f aca="false">COUNTIF(נתונים!$I$2:$I$151,A19)</f>
        <v>12</v>
      </c>
      <c r="C19" s="18" t="n">
        <f aca="false">IF(SUM($B$19:$B$27)=0,"",B19/SUM($B$19:$B$27))</f>
        <v>0.142857142857143</v>
      </c>
    </row>
    <row r="20" customFormat="false" ht="15" hidden="false" customHeight="true" outlineLevel="0" collapsed="false">
      <c r="A20" s="17" t="s">
        <v>35</v>
      </c>
      <c r="B20" s="17" t="n">
        <f aca="false">COUNTIF(נתונים!$I$2:$I$151,A20)</f>
        <v>4</v>
      </c>
      <c r="C20" s="18" t="n">
        <f aca="false">IF(SUM($B$19:$B$27)=0,"",B20/SUM($B$19:$B$27))</f>
        <v>0.0476190476190476</v>
      </c>
    </row>
    <row r="21" customFormat="false" ht="15" hidden="false" customHeight="true" outlineLevel="0" collapsed="false">
      <c r="A21" s="17" t="s">
        <v>38</v>
      </c>
      <c r="B21" s="17" t="n">
        <f aca="false">COUNTIF(נתונים!$I$2:$I$151,A21)</f>
        <v>25</v>
      </c>
      <c r="C21" s="18" t="n">
        <f aca="false">IF(SUM($B$19:$B$27)=0,"",B21/SUM($B$19:$B$27))</f>
        <v>0.297619047619048</v>
      </c>
    </row>
    <row r="22" customFormat="false" ht="15" hidden="false" customHeight="true" outlineLevel="0" collapsed="false">
      <c r="A22" s="17" t="s">
        <v>32</v>
      </c>
      <c r="B22" s="17" t="n">
        <f aca="false">COUNTIF(נתונים!$I$2:$I$151,A22)</f>
        <v>13</v>
      </c>
      <c r="C22" s="18" t="n">
        <f aca="false">IF(SUM($B$19:$B$27)=0,"",B22/SUM($B$19:$B$27))</f>
        <v>0.154761904761905</v>
      </c>
    </row>
    <row r="23" customFormat="false" ht="15" hidden="false" customHeight="true" outlineLevel="0" collapsed="false">
      <c r="A23" s="17" t="s">
        <v>47</v>
      </c>
      <c r="B23" s="17" t="n">
        <f aca="false">COUNTIF(נתונים!$I$2:$I$151,A23)</f>
        <v>8</v>
      </c>
      <c r="C23" s="18" t="n">
        <f aca="false">IF(SUM($B$19:$B$27)=0,"",B23/SUM($B$19:$B$27))</f>
        <v>0.0952380952380952</v>
      </c>
    </row>
    <row r="24" customFormat="false" ht="15" hidden="false" customHeight="true" outlineLevel="0" collapsed="false">
      <c r="A24" s="17" t="s">
        <v>52</v>
      </c>
      <c r="B24" s="17" t="n">
        <f aca="false">COUNTIF(נתונים!$I$2:$I$151,A24)</f>
        <v>7</v>
      </c>
      <c r="C24" s="18" t="n">
        <f aca="false">IF(SUM($B$19:$B$27)=0,"",B24/SUM($B$19:$B$27))</f>
        <v>0.0833333333333333</v>
      </c>
    </row>
    <row r="25" customFormat="false" ht="15" hidden="false" customHeight="true" outlineLevel="0" collapsed="false">
      <c r="A25" s="17" t="s">
        <v>36</v>
      </c>
      <c r="B25" s="17" t="n">
        <f aca="false">COUNTIF(נתונים!$I$2:$I$151,A25)</f>
        <v>6</v>
      </c>
      <c r="C25" s="18" t="n">
        <f aca="false">IF(SUM($B$19:$B$27)=0,"",B25/SUM($B$19:$B$27))</f>
        <v>0.0714285714285714</v>
      </c>
    </row>
    <row r="26" customFormat="false" ht="15" hidden="false" customHeight="true" outlineLevel="0" collapsed="false">
      <c r="A26" s="17" t="s">
        <v>30</v>
      </c>
      <c r="B26" s="17" t="n">
        <f aca="false">COUNTIF(נתונים!$I$2:$I$151,A26)</f>
        <v>4</v>
      </c>
      <c r="C26" s="18" t="n">
        <f aca="false">IF(SUM($B$19:$B$27)=0,"",B26/SUM($B$19:$B$27))</f>
        <v>0.0476190476190476</v>
      </c>
    </row>
    <row r="27" customFormat="false" ht="15" hidden="false" customHeight="true" outlineLevel="0" collapsed="false">
      <c r="A27" s="17" t="s">
        <v>39</v>
      </c>
      <c r="B27" s="17" t="n">
        <f aca="false">COUNTIF(נתונים!$I$2:$I$151,A27)</f>
        <v>5</v>
      </c>
      <c r="C27" s="18" t="n">
        <f aca="false">IF(SUM($B$19:$B$27)=0,"",B27/SUM($B$19:$B$27))</f>
        <v>0.0595238095238095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6"/>
  </cols>
  <sheetData>
    <row r="1" customFormat="false" ht="15" hidden="false" customHeight="true" outlineLevel="0" collapsed="false">
      <c r="A1" s="4" t="s">
        <v>15</v>
      </c>
      <c r="B1" s="4" t="s">
        <v>16</v>
      </c>
      <c r="C1" s="4" t="s">
        <v>82</v>
      </c>
    </row>
    <row r="2" customFormat="false" ht="15" hidden="false" customHeight="true" outlineLevel="0" collapsed="false">
      <c r="A2" s="3" t="s">
        <v>18</v>
      </c>
      <c r="B2" s="3" t="s">
        <v>19</v>
      </c>
      <c r="C2" s="3" t="s">
        <v>20</v>
      </c>
    </row>
    <row r="3" customFormat="false" ht="15" hidden="false" customHeight="true" outlineLevel="0" collapsed="false">
      <c r="A3" s="3" t="s">
        <v>33</v>
      </c>
      <c r="B3" s="3" t="s">
        <v>29</v>
      </c>
      <c r="C3" s="3" t="s">
        <v>35</v>
      </c>
    </row>
    <row r="4" customFormat="false" ht="15" hidden="false" customHeight="true" outlineLevel="0" collapsed="false">
      <c r="B4" s="3" t="s">
        <v>34</v>
      </c>
      <c r="C4" s="3" t="s">
        <v>38</v>
      </c>
    </row>
    <row r="5" customFormat="false" ht="15" hidden="false" customHeight="true" outlineLevel="0" collapsed="false">
      <c r="C5" s="3" t="s">
        <v>32</v>
      </c>
    </row>
    <row r="6" customFormat="false" ht="15" hidden="false" customHeight="true" outlineLevel="0" collapsed="false">
      <c r="C6" s="3" t="s">
        <v>47</v>
      </c>
    </row>
    <row r="7" customFormat="false" ht="15" hidden="false" customHeight="true" outlineLevel="0" collapsed="false">
      <c r="C7" s="3" t="s">
        <v>52</v>
      </c>
    </row>
    <row r="8" customFormat="false" ht="15" hidden="false" customHeight="true" outlineLevel="0" collapsed="false">
      <c r="C8" s="3" t="s">
        <v>36</v>
      </c>
    </row>
    <row r="9" customFormat="false" ht="15" hidden="false" customHeight="true" outlineLevel="0" collapsed="false">
      <c r="C9" s="3" t="s">
        <v>30</v>
      </c>
    </row>
    <row r="10" customFormat="false" ht="15" hidden="false" customHeight="true" outlineLevel="0" collapsed="false">
      <c r="C10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2026-10-06T09:56:57Z</dcterms:created>
  <dc:creator>openpyxl</dc:creator>
  <dc:description/>
  <dc:language>en-US</dc:language>
  <cp:lastModifiedBy/>
  <dcterms:modified xsi:type="dcterms:W3CDTF">2026-10-11T16:49:04Z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